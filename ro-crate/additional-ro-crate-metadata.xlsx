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5"/>
  </sheets>
  <definedNames>
    <definedName hidden="1" localSheetId="0" name="_xlnm._FilterDatabase">Tools!$A$1:$Y$34</definedName>
  </definedNames>
  <calcPr/>
</workbook>
</file>

<file path=xl/sharedStrings.xml><?xml version="1.0" encoding="utf-8"?>
<sst xmlns="http://schemas.openxmlformats.org/spreadsheetml/2006/main" count="351" uniqueCount="196">
  <si>
    <t>@id</t>
  </si>
  <si>
    <t>@type</t>
  </si>
  <si>
    <t>isRef_conformsTo</t>
  </si>
  <si>
    <t>isRef_pcdm:memberOf</t>
  </si>
  <si>
    <t>name</t>
  </si>
  <si>
    <t>datePublished</t>
  </si>
  <si>
    <t>.Release Date</t>
  </si>
  <si>
    <t>.Status</t>
  </si>
  <si>
    <t>isRef_publisher</t>
  </si>
  <si>
    <t>isRef_author</t>
  </si>
  <si>
    <t>programmingLanguage</t>
  </si>
  <si>
    <t>url</t>
  </si>
  <si>
    <t>description</t>
  </si>
  <si>
    <t>custom:dataFormat</t>
  </si>
  <si>
    <t>custom:guideURL</t>
  </si>
  <si>
    <t>creditText</t>
  </si>
  <si>
    <t>.Short description</t>
  </si>
  <si>
    <t>.Long description</t>
  </si>
  <si>
    <t>.Image</t>
  </si>
  <si>
    <t>custom:codeURL</t>
  </si>
  <si>
    <t>.Example use</t>
  </si>
  <si>
    <t>custom:additionalNotes</t>
  </si>
  <si>
    <t>.analytics</t>
  </si>
  <si>
    <t>SoftwareApplication</t>
  </si>
  <si>
    <t>https://w3id.org/ldac/profile#SoftwareTool</t>
  </si>
  <si>
    <t>Anonymising ELAN Files</t>
  </si>
  <si>
    <t>Python</t>
  </si>
  <si>
    <t>https://github.com/Supertyp/Anonymising_ELAN_files</t>
  </si>
  <si>
    <t>Anonymise content of ELAN files</t>
  </si>
  <si>
    <t>eaf (ELAN file)</t>
  </si>
  <si>
    <t>Anonymises the content of ELAN files</t>
  </si>
  <si>
    <t>Collocation Analyser</t>
  </si>
  <si>
    <t>R</t>
  </si>
  <si>
    <t>https://ladal.edu.au/tools.html#jupyter-tools</t>
  </si>
  <si>
    <t>Calculates various association measures (collocation statistics) based on textual input and allows you to download the resulting table</t>
  </si>
  <si>
    <t>txt</t>
  </si>
  <si>
    <t>Calculates association measures to identify which words significantly collocate with a target word</t>
  </si>
  <si>
    <t>https://ladal.edu.au/tools.html#collocation-analyser</t>
  </si>
  <si>
    <t>CollocationCalculator</t>
  </si>
  <si>
    <t>Browser-based</t>
  </si>
  <si>
    <t>https://ladal.edu.au/tools.html#shiny-tools</t>
  </si>
  <si>
    <t>Collocation association measures</t>
  </si>
  <si>
    <t>https://ladal.edu.au/tools.html#collocationcalculator</t>
  </si>
  <si>
    <t>Concordance Explorer</t>
  </si>
  <si>
    <t>Create Keyword-in-Context displays of words or phrases in a single text or collection of texts and to download the resulting table</t>
  </si>
  <si>
    <t>Searches for words or phrases and displays them in KWIC (Keyword-in-Context) format</t>
  </si>
  <si>
    <t>https://ladal.edu.au/tools.html#concordance-explorer</t>
  </si>
  <si>
    <t>Concordancer</t>
  </si>
  <si>
    <t>Also as part of the new WebApp</t>
  </si>
  <si>
    <t>https://github.com/Australian-Text-Analytics-Platform/atap_widgets</t>
  </si>
  <si>
    <t>A concordancer that demos how to analyse turn-taking pairs in a concordancer</t>
  </si>
  <si>
    <t>csv, xlsx, plain txt; also zip archive with the supported file formats</t>
  </si>
  <si>
    <t>https://github.com/Australian-Text-Analytics-Platform/atap_widgets/blob/main/docs/concordance_help_pages.pdf</t>
  </si>
  <si>
    <t>Bednarek, M., Mather, M., Maras, K., &amp; Croser, H. (2023). ATAP Concordancer (v0.5.4) [Computer software]. https://github.com/Australian-Text-Analytics-Platform/atap_widgets. DOI. https://doi.org/10.5281/zenodo.10086731</t>
  </si>
  <si>
    <t>Demonstrates how to analyse turn-taking pairs in a concordancer</t>
  </si>
  <si>
    <t>concordancer.png</t>
  </si>
  <si>
    <t>Crate-O</t>
  </si>
  <si>
    <t>Maintained</t>
  </si>
  <si>
    <t>https://github.com/Language-Research-Technology/crate-o</t>
  </si>
  <si>
    <t>Browser-based editor for RO Crates</t>
  </si>
  <si>
    <t>Various - text, video, audio, image, etc.</t>
  </si>
  <si>
    <t>https://www.ldaca.edu.au/resources/user-guides/crate-o/</t>
  </si>
  <si>
    <t>Allows you to create and update Research Object Crates (RO-Crates)</t>
  </si>
  <si>
    <t>This browser-based tool allows you to create and update Research Object Crates (RO-Crates), either using the web interface or with metadata from a spreadsheet. RO-Crate is a flexible, developer-friendly approach to linked-data description and packaging.</t>
  </si>
  <si>
    <t>crate-o.png</t>
  </si>
  <si>
    <t>Discursis</t>
  </si>
  <si>
    <t>https://github.com/Australian-Text-Analytics-Platform/discursis</t>
  </si>
  <si>
    <t>A conversational analysis and visualisation tool</t>
  </si>
  <si>
    <t>csv, xlsx</t>
  </si>
  <si>
    <t>https://raw.githubusercontent.com/Australian-Text-Analytics-Platform/discursis/master/docs/Discursis%20User%20Guide.pdf</t>
  </si>
  <si>
    <t>Not provided</t>
  </si>
  <si>
    <t>discursis.png</t>
  </si>
  <si>
    <t>Based on Angus et al</t>
  </si>
  <si>
    <t>Document Similarity</t>
  </si>
  <si>
    <t>Full stack migration planned</t>
  </si>
  <si>
    <t>https://github.com/Australian-Text-Analytics-Platform/document-similarity</t>
  </si>
  <si>
    <t>Identifies identical and similar text in a corpus</t>
  </si>
  <si>
    <t>https://github.com/Australian-Text-Analytics-Platform/document-similarity/blob/main/documents/docsim-help-pages.pdf</t>
  </si>
  <si>
    <t>Jufri, Sony &amp; Sun, Chao (2024). Document Similarity. v1.2. Australian Text Analytics Platform. Software. https://github.com/Australian-Text-Analytics-Platform/document-similarity</t>
  </si>
  <si>
    <t>document-similarity.png</t>
  </si>
  <si>
    <t>ELAN Annotation Splitter</t>
  </si>
  <si>
    <t>Software program</t>
  </si>
  <si>
    <t>https://github.com/Supertyp/ELAN_apps/</t>
  </si>
  <si>
    <t>Allows to split annotations context depending across a folder full of Elan files. This is a standalone desktop appplication for PC and Mac, not a notebook</t>
  </si>
  <si>
    <t>Allows you to split ELAN annotations</t>
  </si>
  <si>
    <t>ELAN Audio Segmentation</t>
  </si>
  <si>
    <t>App which takes a audio or video file as imput and creates a ELAN file with empty annotations wherever a voice is heard in the audio</t>
  </si>
  <si>
    <t>wav</t>
  </si>
  <si>
    <t>Creates an ELAN file with empty annotations wherever a voice is heard in an audio or video file</t>
  </si>
  <si>
    <t>ELAN Commander</t>
  </si>
  <si>
    <t>https://www.gerlingo.com/ELAN_commander.html</t>
  </si>
  <si>
    <t>Web application to find unwanted characters in annotations</t>
  </si>
  <si>
    <t>Finds unwanted characters in ELAN annotations</t>
  </si>
  <si>
    <t>ELAN Inventory</t>
  </si>
  <si>
    <t>https://www.gerlingo.com/config_maker.html</t>
  </si>
  <si>
    <t>Web application to access the inventory of a transcription collection and to create config files to load a collection into ANNIS</t>
  </si>
  <si>
    <t>Summarises ELAN files and compiles configuration files to create an ANNIS corpus</t>
  </si>
  <si>
    <t>ELAN Replacer</t>
  </si>
  <si>
    <t>Allows context depending search and replace functionality across a folder full of elan files. Saves hours of manual work for any spelling changes in transcription. This is a stand alone software application for PC and Mac, not a notebook</t>
  </si>
  <si>
    <t>Enables context-dependent search and replace functionality across ELAN files</t>
  </si>
  <si>
    <t>FileRenamer</t>
  </si>
  <si>
    <t>Batch rename plain-text files</t>
  </si>
  <si>
    <t>Batch renames plain-text files</t>
  </si>
  <si>
    <t>https://ladal.edu.au/tools.html#filerenamer</t>
  </si>
  <si>
    <t>Image Dataset Explorer</t>
  </si>
  <si>
    <t>https://github.com/Language-Research-Technology/image-dataset-explorer</t>
  </si>
  <si>
    <t>Embeds images from a zip file using off the shelf image embeddings, then creates a static HTML visualisation for browsing/exploring clusters and relations</t>
  </si>
  <si>
    <t>zip archive with jpeg and/or png files</t>
  </si>
  <si>
    <t>Embeds images and creates a static HTML visualisation for exploring clusters and relations</t>
  </si>
  <si>
    <t>This notebook provides options for exploring large image datasets, through the use of K nearest neighbour graphs and other methods. It ingests a zip file containing images, returns a HTML file (giving options for visual exploration of the dataset) and provides some basic visualisations.</t>
  </si>
  <si>
    <t>image-dataset-explorer.png</t>
  </si>
  <si>
    <t>Keyword Finder</t>
  </si>
  <si>
    <t>Calculates various keyness measures describing how words are over or under-represented in the texts you provide, compared to your chosen reference text corpus</t>
  </si>
  <si>
    <t>Identifies words that are distinctive in a target corpus compared to a reference corpus</t>
  </si>
  <si>
    <t>https://ladal.edu.au/tools.html#keyword-finder</t>
  </si>
  <si>
    <t>KeywordExtractor</t>
  </si>
  <si>
    <t>Keyness analysis vs. a reference corpus</t>
  </si>
  <si>
    <t>Identifies words that are over- or under-represented compared to a reference corpus</t>
  </si>
  <si>
    <t>https://ladal.edu.au/tools.html#keywordextractor</t>
  </si>
  <si>
    <t>Keywords Analysis</t>
  </si>
  <si>
    <t>https://github.com/Australian-Text-Analytics-Platform/keywords-analysis</t>
  </si>
  <si>
    <t>Tool to analyse words in a collection of corpus and identify whether certain words are over or under-represented in a particular corpus compared to their representation in other corpus</t>
  </si>
  <si>
    <t>https://github.com/Australian-Text-Analytics-Platform/keywords-analysis/blob/main/documents/keywords_help_pages.pdf</t>
  </si>
  <si>
    <t>Jufri, Sony &amp; Sun, Chao (2022). Keywords Analysis. v1.0. Australian Text Analytics Platform. Software. https://github.com/Australian-Text-Analytics-Platform/keywords-analysis</t>
  </si>
  <si>
    <t>Analyses words in a collection of corpora and identifies whether certain words are over or under-represented in a particular corpus</t>
  </si>
  <si>
    <t>keyword-analysis.png</t>
  </si>
  <si>
    <t>Lameta</t>
  </si>
  <si>
    <t>Released</t>
  </si>
  <si>
    <r>
      <rPr>
        <rFont val="Arial"/>
        <color rgb="FF1155CC"/>
        <u/>
      </rPr>
      <t>https://github.com/onset/laMETA/releases</t>
    </r>
    <r>
      <rPr>
        <rFont val="Arial"/>
      </rPr>
      <t xml:space="preserve">, </t>
    </r>
    <r>
      <rPr>
        <rFont val="Arial"/>
        <color rgb="FF1155CC"/>
        <u/>
      </rPr>
      <t>https://lameta.org</t>
    </r>
  </si>
  <si>
    <t xml:space="preserve">Lameta is a metadata tool to help with organising collections of files. It is mainly aimed at collections made in the course of documenting language, music, and other cultural expressions.
Lameta greatly simplifies management of collections and makes the archiving process straightforward and painless for field workers. </t>
  </si>
  <si>
    <t>Various - text, video, audio, image, ELAN annotation (eaf)</t>
  </si>
  <si>
    <t>https://www.elararchive.org/uncategorized/SO_7557c4dd-1c83-485c-b95c-c0a292cfc42c/</t>
  </si>
  <si>
    <r>
      <rPr>
        <rFont val="Arial"/>
      </rPr>
      <t xml:space="preserve">Hatton, John, Gary Holton, Mandana Seyfeddinipur, Nick Thieberger. 2021. Lameta [software] </t>
    </r>
    <r>
      <rPr>
        <rFont val="Arial"/>
        <color rgb="FF1155CC"/>
        <u/>
      </rPr>
      <t>https://github.com/onset/laMETA/releases</t>
    </r>
  </si>
  <si>
    <t>Allows you to output a Research Object Crate (RO-Crate) from a metadata organising tool</t>
  </si>
  <si>
    <t>This software program helps with organising collections of files and is mainly aimed at field workers documenting language, music and other cultural expressions. A Research Object Crate (RO-Crate) output option has been added to this tool. RO-Crate is a flexible, developer-friendly approach to linked-data description and packaging.</t>
  </si>
  <si>
    <t>lameta.png</t>
  </si>
  <si>
    <t>https://github.com/onset/lameta</t>
  </si>
  <si>
    <t>Network Visualiser</t>
  </si>
  <si>
    <t>Allows you to generate and download network graphs based on your data</t>
  </si>
  <si>
    <t>xlsx</t>
  </si>
  <si>
    <t>Allows you to create and explore network visualisations</t>
  </si>
  <si>
    <t>https://ladal.edu.au/tools.html#network-visualiser</t>
  </si>
  <si>
    <t>You will need to provide structured data describing the edges and their weights in your network of interest</t>
  </si>
  <si>
    <t>Part-of-Speech Tagger</t>
  </si>
  <si>
    <t>Add part-of-speech tags to texts or collections of texts in more than 60 languages and download the resulting pos-tagged texts</t>
  </si>
  <si>
    <t>Tags parts-of-speech and parses dependencies in 65+ languages</t>
  </si>
  <si>
    <t>https://ladal.edu.au/tools.html#part-of-speech-tagger</t>
  </si>
  <si>
    <t>POSTagger</t>
  </si>
  <si>
    <t>Part-of-speech tagging &amp; dependency parsing in 65+ languages</t>
  </si>
  <si>
    <t>https://ladal.edu.au/tools.html#postagger</t>
  </si>
  <si>
    <t>Quotation Tool</t>
  </si>
  <si>
    <t>Full stack migration in progress</t>
  </si>
  <si>
    <t>https://github.com/Australian-Text-Analytics-Platform/quotation-tool</t>
  </si>
  <si>
    <t>A tool to extract quotes and other useful information from a newspaper article/corpus</t>
  </si>
  <si>
    <t>https://github.com/Australian-Text-Analytics-Platform/quotation-tool/blob/main/documents/quotation_help_pages.pdf</t>
  </si>
  <si>
    <t>Jufri, Sony &amp; Sun, Chao (2022). Quotation Tool. v1.0. Australian Text Analytics Platform. Software. https://github.com/Australian-Text-Analytics-Platform/quotation-tool</t>
  </si>
  <si>
    <t>Extracts quotes and other useful information from a newspaper article or corpus</t>
  </si>
  <si>
    <t>quotation-tool.png</t>
  </si>
  <si>
    <t>Semantic Tagger (English)</t>
  </si>
  <si>
    <t>https://github.com/Australian-Text-Analytics-Platform/semantic-tagger</t>
  </si>
  <si>
    <t>Used to tag a text/corpus so you can extract token level semantic tags from the tagged texts</t>
  </si>
  <si>
    <t>https://github.com/Australian-Text-Analytics-Platform/semantic-tagger/blob/main/documents/semtag_help_pages.pdf</t>
  </si>
  <si>
    <r>
      <rPr>
        <rFont val="Arial"/>
      </rPr>
      <t xml:space="preserve">Jufri, Sony &amp; Sun, Chao (2022). Semantic Tagger. v1.0. Australian Text Analytics Platform. Software. </t>
    </r>
    <r>
      <rPr>
        <rFont val="Arial"/>
        <color rgb="FF1155CC"/>
        <u/>
      </rPr>
      <t>https://github.com/Australian-Text-Analytics-Platform/semantic-tagger</t>
    </r>
  </si>
  <si>
    <t>Allows you to tag a text or corpus and extract token-level semantic tags</t>
  </si>
  <si>
    <t>semantic-tagger.png</t>
  </si>
  <si>
    <t>Sentiment Explorer</t>
  </si>
  <si>
    <t>Allows you to perform a sentiment analysis on your texts and download the results in an MS Excel spreadsheet.</t>
  </si>
  <si>
    <t>Scores texts for positive/negative polarity and eight emotion categories using the NRC lexicon</t>
  </si>
  <si>
    <t>https://ladal.edu.au/tools.html#sentiment-explorer</t>
  </si>
  <si>
    <t>SentimentExplorer</t>
  </si>
  <si>
    <t>NRC word-emotion sentiment analysis</t>
  </si>
  <si>
    <t>https://ladal.edu.au/tools.html#sentimentexplorer</t>
  </si>
  <si>
    <t>Text Cleaner</t>
  </si>
  <si>
    <t>Allows you to remove and replace words, tags, and other elements from the text data that you upload (of course you can then download the cleaned texts too)</t>
  </si>
  <si>
    <t>Removes or replaces words, tags, URLs and patterns</t>
  </si>
  <si>
    <t>https://ladal.edu.au/tools.html#text-cleaner</t>
  </si>
  <si>
    <t>TextCleaner</t>
  </si>
  <si>
    <t>Remove and replace text elements with regex</t>
  </si>
  <si>
    <t>Removes and replaces text elements with regex</t>
  </si>
  <si>
    <t>https://ladal.edu.au/tools.html#textcleaner</t>
  </si>
  <si>
    <t>Topic Explorer</t>
  </si>
  <si>
    <t>Allows you to generate your own custom topic models using unsupervised and supervised LDA and download the results in an MS Excel spreadsheet</t>
  </si>
  <si>
    <t>Allows you to discover latent themes using LDA topic modelling</t>
  </si>
  <si>
    <t>https://ladal.edu.au/tools.html#topic-explorer</t>
  </si>
  <si>
    <t>TopicDetector</t>
  </si>
  <si>
    <t>Unsupervised &amp; seeded LDA topic modelling</t>
  </si>
  <si>
    <t>Allows you to discover the thematic structure of a text using LDA topic modelling</t>
  </si>
  <si>
    <t>https://ladal.edu.au/tools.html#topicdetector</t>
  </si>
  <si>
    <t>WordFinder</t>
  </si>
  <si>
    <t>Keyword-in-context concordancing</t>
  </si>
  <si>
    <t>Searches for words or phrases and generates KWIC (Keyword-in-Context) displays</t>
  </si>
  <si>
    <t>https://ladal.edu.au/tools.html#wordfinder</t>
  </si>
  <si>
    <t>WordWebber</t>
  </si>
  <si>
    <t>Word co-occurrence network visualisation</t>
  </si>
  <si>
    <t>Builds interactive and static word co-occurrence networks</t>
  </si>
  <si>
    <t>https://ladal.edu.au/tools.html#wordwebber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</si>
</sst>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b/>
      <color theme="1"/>
      <name val="Arial"/>
    </font>
    <font>
      <color theme="1"/>
      <name val="Arial"/>
      <scheme val="minor"/>
    </font>
    <font>
      <color theme="1"/>
      <name val="Arial"/>
    </font>
    <font>
      <u/>
      <color rgb="FF0000FF"/>
      <name val="Arial"/>
    </font>
    <font>
      <sz val="12.0"/>
      <color rgb="FF305496"/>
      <name val="Arial"/>
    </font>
    <font>
      <u/>
      <color rgb="FF0000FF"/>
      <name val="Arial"/>
    </font>
    <font>
      <u/>
      <color rgb="FF1155CC"/>
      <name val="Arial"/>
    </font>
    <font>
      <u/>
      <color rgb="FF0000FF"/>
      <name val="Arial"/>
    </font>
    <font>
      <u/>
      <color rgb="FF0000FF"/>
      <name val="Arial"/>
    </font>
    <font>
      <u/>
      <color theme="1"/>
      <name val="Arial"/>
    </font>
  </fonts>
  <fills count="6">
    <fill>
      <patternFill patternType="none"/>
    </fill>
    <fill>
      <patternFill patternType="lightGray"/>
    </fill>
    <fill>
      <patternFill patternType="solid">
        <fgColor rgb="FFB4A7D6"/>
        <bgColor rgb="FFB4A7D6"/>
      </patternFill>
    </fill>
    <fill>
      <patternFill patternType="solid">
        <fgColor rgb="FFD9EAD3"/>
        <bgColor rgb="FFD9EAD3"/>
      </patternFill>
    </fill>
    <fill>
      <patternFill patternType="solid">
        <fgColor rgb="FFDDEBF7"/>
        <bgColor rgb="FFDDEBF7"/>
      </patternFill>
    </fill>
    <fill>
      <patternFill patternType="solid">
        <fgColor rgb="FFFFF2CC"/>
        <bgColor rgb="FFFFF2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quotePrefix="1" borderId="0" fillId="0" fontId="1"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2" fontId="1" numFmtId="0" xfId="0" applyAlignment="1" applyFont="1">
      <alignment readingOrder="0" shrinkToFit="0" wrapText="0"/>
    </xf>
    <xf borderId="0" fillId="3" fontId="1" numFmtId="0" xfId="0" applyAlignment="1" applyFill="1" applyFont="1">
      <alignment readingOrder="0" shrinkToFit="0" wrapText="1"/>
    </xf>
    <xf borderId="0" fillId="0" fontId="2" numFmtId="0" xfId="0" applyAlignment="1" applyFont="1">
      <alignment readingOrder="0"/>
    </xf>
    <xf borderId="0" fillId="3" fontId="3" numFmtId="0" xfId="0" applyAlignment="1" applyFont="1">
      <alignment shrinkToFit="0" wrapText="1"/>
    </xf>
    <xf borderId="0" fillId="3" fontId="3" numFmtId="0" xfId="0" applyAlignment="1" applyFont="1">
      <alignment readingOrder="0" shrinkToFit="0" wrapText="1"/>
    </xf>
    <xf borderId="0" fillId="3" fontId="4" numFmtId="0" xfId="0" applyAlignment="1" applyFont="1">
      <alignment readingOrder="0" shrinkToFit="0" wrapText="1"/>
    </xf>
    <xf borderId="0" fillId="4" fontId="5" numFmtId="164" xfId="0" applyAlignment="1" applyFill="1" applyFont="1" applyNumberFormat="1">
      <alignment readingOrder="0" shrinkToFit="0" vertical="bottom" wrapText="0"/>
    </xf>
    <xf borderId="0" fillId="0" fontId="3" numFmtId="0" xfId="0" applyFont="1"/>
    <xf borderId="0" fillId="0" fontId="6" numFmtId="0" xfId="0" applyAlignment="1" applyFont="1">
      <alignment shrinkToFit="0" wrapText="1"/>
    </xf>
    <xf borderId="0" fillId="0" fontId="3" numFmtId="0" xfId="0" applyAlignment="1" applyFont="1">
      <alignment shrinkToFit="0" wrapText="1"/>
    </xf>
    <xf borderId="0" fillId="0" fontId="7" numFmtId="0" xfId="0" applyAlignment="1" applyFont="1">
      <alignment shrinkToFit="0" wrapText="0"/>
    </xf>
    <xf borderId="0" fillId="0" fontId="3" numFmtId="0" xfId="0" applyAlignment="1" applyFont="1">
      <alignment vertical="bottom"/>
    </xf>
    <xf borderId="0" fillId="5" fontId="8" numFmtId="0" xfId="0" applyAlignment="1" applyFill="1" applyFont="1">
      <alignment shrinkToFit="0" wrapText="1"/>
    </xf>
    <xf borderId="0" fillId="5" fontId="3" numFmtId="0" xfId="0" applyAlignment="1" applyFont="1">
      <alignment shrinkToFit="0" wrapText="1"/>
    </xf>
    <xf borderId="0" fillId="0" fontId="9" numFmtId="0" xfId="0" applyAlignment="1" applyFont="1">
      <alignment shrinkToFit="0" wrapText="0"/>
    </xf>
    <xf borderId="0" fillId="0" fontId="10" numFmtId="0" xfId="0" applyAlignment="1" applyFont="1">
      <alignment shrinkToFit="0" wrapText="1"/>
    </xf>
    <xf borderId="0" fillId="5"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erlingo.com/ELAN_commander.html" TargetMode="External"/><Relationship Id="rId42" Type="http://schemas.openxmlformats.org/officeDocument/2006/relationships/hyperlink" Target="https://w3id.org/ldac/profile" TargetMode="External"/><Relationship Id="rId41" Type="http://schemas.openxmlformats.org/officeDocument/2006/relationships/hyperlink" Target="https://www.gerlingo.com/ELAN_commander.html" TargetMode="External"/><Relationship Id="rId44" Type="http://schemas.openxmlformats.org/officeDocument/2006/relationships/hyperlink" Target="https://www.gerlingo.com/config_maker.html" TargetMode="External"/><Relationship Id="rId43" Type="http://schemas.openxmlformats.org/officeDocument/2006/relationships/hyperlink" Target="https://www.gerlingo.com/config_maker.html" TargetMode="External"/><Relationship Id="rId46" Type="http://schemas.openxmlformats.org/officeDocument/2006/relationships/hyperlink" Target="https://github.com/Supertyp/ELAN_apps/" TargetMode="External"/><Relationship Id="rId45" Type="http://schemas.openxmlformats.org/officeDocument/2006/relationships/hyperlink" Target="https://w3id.org/ldac/profile" TargetMode="External"/><Relationship Id="rId107" Type="http://schemas.openxmlformats.org/officeDocument/2006/relationships/hyperlink" Target="https://w3id.org/ldac/profile" TargetMode="External"/><Relationship Id="rId106" Type="http://schemas.openxmlformats.org/officeDocument/2006/relationships/hyperlink" Target="https://ladal.edu.au/tools.html" TargetMode="External"/><Relationship Id="rId105" Type="http://schemas.openxmlformats.org/officeDocument/2006/relationships/hyperlink" Target="https://ladal.edu.au/tools.html" TargetMode="External"/><Relationship Id="rId104" Type="http://schemas.openxmlformats.org/officeDocument/2006/relationships/hyperlink" Target="https://w3id.org/ldac/profile" TargetMode="External"/><Relationship Id="rId109" Type="http://schemas.openxmlformats.org/officeDocument/2006/relationships/hyperlink" Target="https://ladal.edu.au/tools.html" TargetMode="External"/><Relationship Id="rId108" Type="http://schemas.openxmlformats.org/officeDocument/2006/relationships/hyperlink" Target="https://ladal.edu.au/tools.html" TargetMode="External"/><Relationship Id="rId48" Type="http://schemas.openxmlformats.org/officeDocument/2006/relationships/hyperlink" Target="https://w3id.org/ldac/profile" TargetMode="External"/><Relationship Id="rId47" Type="http://schemas.openxmlformats.org/officeDocument/2006/relationships/hyperlink" Target="https://github.com/Supertyp/ELAN_apps/" TargetMode="External"/><Relationship Id="rId49" Type="http://schemas.openxmlformats.org/officeDocument/2006/relationships/hyperlink" Target="https://ladal.edu.au/tools.html" TargetMode="External"/><Relationship Id="rId103" Type="http://schemas.openxmlformats.org/officeDocument/2006/relationships/hyperlink" Target="https://ladal.edu.au/tools.html" TargetMode="External"/><Relationship Id="rId102" Type="http://schemas.openxmlformats.org/officeDocument/2006/relationships/hyperlink" Target="https://ladal.edu.au/tools.html" TargetMode="External"/><Relationship Id="rId101" Type="http://schemas.openxmlformats.org/officeDocument/2006/relationships/hyperlink" Target="https://w3id.org/ldac/profile" TargetMode="External"/><Relationship Id="rId100" Type="http://schemas.openxmlformats.org/officeDocument/2006/relationships/hyperlink" Target="https://ladal.edu.au/tools.html" TargetMode="External"/><Relationship Id="rId31" Type="http://schemas.openxmlformats.org/officeDocument/2006/relationships/hyperlink" Target="https://drive.google.com/file/d/1sUVZ0cdDrRuapJ-kZPO4u4HsjeGm6V__/view?usp=drive_link" TargetMode="External"/><Relationship Id="rId30" Type="http://schemas.openxmlformats.org/officeDocument/2006/relationships/hyperlink" Target="https://github.com/Australian-Text-Analytics-Platform/document-similarity/blob/main/documents/docsim-help-pages.pdf" TargetMode="External"/><Relationship Id="rId33" Type="http://schemas.openxmlformats.org/officeDocument/2006/relationships/hyperlink" Target="https://w3id.org/ldac/profile" TargetMode="External"/><Relationship Id="rId32" Type="http://schemas.openxmlformats.org/officeDocument/2006/relationships/hyperlink" Target="https://github.com/Australian-Text-Analytics-Platform/document-similarity" TargetMode="External"/><Relationship Id="rId35" Type="http://schemas.openxmlformats.org/officeDocument/2006/relationships/hyperlink" Target="https://github.com/Supertyp/ELAN_apps/" TargetMode="External"/><Relationship Id="rId34" Type="http://schemas.openxmlformats.org/officeDocument/2006/relationships/hyperlink" Target="https://github.com/Supertyp/ELAN_apps/" TargetMode="External"/><Relationship Id="rId37" Type="http://schemas.openxmlformats.org/officeDocument/2006/relationships/hyperlink" Target="https://github.com/Supertyp/ELAN_apps/" TargetMode="External"/><Relationship Id="rId36" Type="http://schemas.openxmlformats.org/officeDocument/2006/relationships/hyperlink" Target="https://w3id.org/ldac/profile" TargetMode="External"/><Relationship Id="rId39" Type="http://schemas.openxmlformats.org/officeDocument/2006/relationships/hyperlink" Target="https://w3id.org/ldac/profile" TargetMode="External"/><Relationship Id="rId38" Type="http://schemas.openxmlformats.org/officeDocument/2006/relationships/hyperlink" Target="https://github.com/Supertyp/ELAN_apps/" TargetMode="External"/><Relationship Id="rId20" Type="http://schemas.openxmlformats.org/officeDocument/2006/relationships/hyperlink" Target="https://www.ldaca.edu.au/resources/user-guides/crate-o/" TargetMode="External"/><Relationship Id="rId22" Type="http://schemas.openxmlformats.org/officeDocument/2006/relationships/hyperlink" Target="https://github.com/Language-Research-Technology/crate-o" TargetMode="External"/><Relationship Id="rId21" Type="http://schemas.openxmlformats.org/officeDocument/2006/relationships/hyperlink" Target="https://drive.google.com/file/d/1pE1yqzWMay3Xp88XJz8Z8ZYYKKfWRBHo/view?usp=drive_link" TargetMode="External"/><Relationship Id="rId24" Type="http://schemas.openxmlformats.org/officeDocument/2006/relationships/hyperlink" Target="https://github.com/Australian-Text-Analytics-Platform/discursis" TargetMode="External"/><Relationship Id="rId23" Type="http://schemas.openxmlformats.org/officeDocument/2006/relationships/hyperlink" Target="https://w3id.org/ldac/profile" TargetMode="External"/><Relationship Id="rId26" Type="http://schemas.openxmlformats.org/officeDocument/2006/relationships/hyperlink" Target="https://drive.google.com/file/d/1hsZdZqEZ7442-EpBZK_JwgLj54L8HDq4/view?usp=drive_link" TargetMode="External"/><Relationship Id="rId25" Type="http://schemas.openxmlformats.org/officeDocument/2006/relationships/hyperlink" Target="https://raw.githubusercontent.com/Australian-Text-Analytics-Platform/discursis/master/docs/Discursis%20User%20Guide.pdf" TargetMode="External"/><Relationship Id="rId28" Type="http://schemas.openxmlformats.org/officeDocument/2006/relationships/hyperlink" Target="https://w3id.org/ldac/profile" TargetMode="External"/><Relationship Id="rId27" Type="http://schemas.openxmlformats.org/officeDocument/2006/relationships/hyperlink" Target="https://github.com/Australian-Text-Analytics-Platform/discursis" TargetMode="External"/><Relationship Id="rId29" Type="http://schemas.openxmlformats.org/officeDocument/2006/relationships/hyperlink" Target="https://github.com/Australian-Text-Analytics-Platform/document-similarity" TargetMode="External"/><Relationship Id="rId95" Type="http://schemas.openxmlformats.org/officeDocument/2006/relationships/hyperlink" Target="https://w3id.org/ldac/profile" TargetMode="External"/><Relationship Id="rId94" Type="http://schemas.openxmlformats.org/officeDocument/2006/relationships/hyperlink" Target="https://ladal.edu.au/tools.html" TargetMode="External"/><Relationship Id="rId97" Type="http://schemas.openxmlformats.org/officeDocument/2006/relationships/hyperlink" Target="https://ladal.edu.au/tools.html" TargetMode="External"/><Relationship Id="rId96" Type="http://schemas.openxmlformats.org/officeDocument/2006/relationships/hyperlink" Target="https://ladal.edu.au/tools.html" TargetMode="External"/><Relationship Id="rId11" Type="http://schemas.openxmlformats.org/officeDocument/2006/relationships/hyperlink" Target="https://ladal.edu.au/tools.html" TargetMode="External"/><Relationship Id="rId99" Type="http://schemas.openxmlformats.org/officeDocument/2006/relationships/hyperlink" Target="https://ladal.edu.au/tools.html" TargetMode="External"/><Relationship Id="rId10" Type="http://schemas.openxmlformats.org/officeDocument/2006/relationships/hyperlink" Target="https://w3id.org/ldac/profile" TargetMode="External"/><Relationship Id="rId98" Type="http://schemas.openxmlformats.org/officeDocument/2006/relationships/hyperlink" Target="https://w3id.org/ldac/profile" TargetMode="External"/><Relationship Id="rId13" Type="http://schemas.openxmlformats.org/officeDocument/2006/relationships/hyperlink" Target="https://w3id.org/ldac/profile" TargetMode="External"/><Relationship Id="rId12" Type="http://schemas.openxmlformats.org/officeDocument/2006/relationships/hyperlink" Target="https://ladal.edu.au/tools.html" TargetMode="External"/><Relationship Id="rId91" Type="http://schemas.openxmlformats.org/officeDocument/2006/relationships/hyperlink" Target="https://github.com/Australian-Text-Analytics-Platform/semantic-tagger" TargetMode="External"/><Relationship Id="rId90" Type="http://schemas.openxmlformats.org/officeDocument/2006/relationships/hyperlink" Target="https://drive.google.com/file/d/1BOUWnJHh33cthObXOXXzdXCEwZ93gYZG/view?usp=drive_link" TargetMode="External"/><Relationship Id="rId93" Type="http://schemas.openxmlformats.org/officeDocument/2006/relationships/hyperlink" Target="https://ladal.edu.au/tools.html" TargetMode="External"/><Relationship Id="rId92" Type="http://schemas.openxmlformats.org/officeDocument/2006/relationships/hyperlink" Target="https://w3id.org/ldac/profile" TargetMode="External"/><Relationship Id="rId116" Type="http://schemas.openxmlformats.org/officeDocument/2006/relationships/drawing" Target="../drawings/drawing1.xml"/><Relationship Id="rId115" Type="http://schemas.openxmlformats.org/officeDocument/2006/relationships/hyperlink" Target="https://ladal.edu.au/tools.html" TargetMode="External"/><Relationship Id="rId15" Type="http://schemas.openxmlformats.org/officeDocument/2006/relationships/hyperlink" Target="https://github.com/Australian-Text-Analytics-Platform/atap_widgets/blob/main/docs/concordance_help_pages.pdf" TargetMode="External"/><Relationship Id="rId110" Type="http://schemas.openxmlformats.org/officeDocument/2006/relationships/hyperlink" Target="https://w3id.org/ldac/profile" TargetMode="External"/><Relationship Id="rId14" Type="http://schemas.openxmlformats.org/officeDocument/2006/relationships/hyperlink" Target="https://github.com/Australian-Text-Analytics-Platform/atap_widgets" TargetMode="External"/><Relationship Id="rId17" Type="http://schemas.openxmlformats.org/officeDocument/2006/relationships/hyperlink" Target="https://github.com/Australian-Text-Analytics-Platform/atap_widgets" TargetMode="External"/><Relationship Id="rId16" Type="http://schemas.openxmlformats.org/officeDocument/2006/relationships/hyperlink" Target="https://drive.google.com/file/d/1Be5ABMAjq5jmjnb9A6E4247QhinSJuKh/view?usp=drive_link" TargetMode="External"/><Relationship Id="rId19" Type="http://schemas.openxmlformats.org/officeDocument/2006/relationships/hyperlink" Target="https://github.com/Language-Research-Technology/crate-o" TargetMode="External"/><Relationship Id="rId114" Type="http://schemas.openxmlformats.org/officeDocument/2006/relationships/hyperlink" Target="https://ladal.edu.au/tools.html" TargetMode="External"/><Relationship Id="rId18" Type="http://schemas.openxmlformats.org/officeDocument/2006/relationships/hyperlink" Target="https://w3id.org/ldac/profile" TargetMode="External"/><Relationship Id="rId113" Type="http://schemas.openxmlformats.org/officeDocument/2006/relationships/hyperlink" Target="https://w3id.org/ldac/profile" TargetMode="External"/><Relationship Id="rId112" Type="http://schemas.openxmlformats.org/officeDocument/2006/relationships/hyperlink" Target="https://ladal.edu.au/tools.html" TargetMode="External"/><Relationship Id="rId111" Type="http://schemas.openxmlformats.org/officeDocument/2006/relationships/hyperlink" Target="https://ladal.edu.au/tools.html" TargetMode="External"/><Relationship Id="rId84" Type="http://schemas.openxmlformats.org/officeDocument/2006/relationships/hyperlink" Target="https://drive.google.com/file/d/1-vNT7ZrQLZu5FIPPySqCV94-UObrSoc0/view?usp=drive_link" TargetMode="External"/><Relationship Id="rId83" Type="http://schemas.openxmlformats.org/officeDocument/2006/relationships/hyperlink" Target="https://github.com/Australian-Text-Analytics-Platform/quotation-tool/blob/main/documents/quotation_help_pages.pdf" TargetMode="External"/><Relationship Id="rId86" Type="http://schemas.openxmlformats.org/officeDocument/2006/relationships/hyperlink" Target="https://w3id.org/ldac/profile" TargetMode="External"/><Relationship Id="rId85" Type="http://schemas.openxmlformats.org/officeDocument/2006/relationships/hyperlink" Target="https://github.com/Australian-Text-Analytics-Platform/quotation-tool" TargetMode="External"/><Relationship Id="rId88" Type="http://schemas.openxmlformats.org/officeDocument/2006/relationships/hyperlink" Target="https://github.com/Australian-Text-Analytics-Platform/semantic-tagger/blob/main/documents/semtag_help_pages.pdf" TargetMode="External"/><Relationship Id="rId87" Type="http://schemas.openxmlformats.org/officeDocument/2006/relationships/hyperlink" Target="https://github.com/Australian-Text-Analytics-Platform/semantic-tagger" TargetMode="External"/><Relationship Id="rId89" Type="http://schemas.openxmlformats.org/officeDocument/2006/relationships/hyperlink" Target="https://github.com/Australian-Text-Analytics-Platform/semantic-tagger" TargetMode="External"/><Relationship Id="rId80" Type="http://schemas.openxmlformats.org/officeDocument/2006/relationships/hyperlink" Target="https://ladal.edu.au/tools.html" TargetMode="External"/><Relationship Id="rId82" Type="http://schemas.openxmlformats.org/officeDocument/2006/relationships/hyperlink" Target="https://github.com/Australian-Text-Analytics-Platform/quotation-tool" TargetMode="External"/><Relationship Id="rId81" Type="http://schemas.openxmlformats.org/officeDocument/2006/relationships/hyperlink" Target="https://w3id.org/ldac/profile" TargetMode="External"/><Relationship Id="rId1" Type="http://schemas.openxmlformats.org/officeDocument/2006/relationships/hyperlink" Target="https://w3id.org/ldac/profile" TargetMode="External"/><Relationship Id="rId2" Type="http://schemas.openxmlformats.org/officeDocument/2006/relationships/hyperlink" Target="https://github.com/Supertyp/Anonymising_ELAN_files" TargetMode="External"/><Relationship Id="rId3" Type="http://schemas.openxmlformats.org/officeDocument/2006/relationships/hyperlink" Target="https://github.com/Supertyp/Anonymising_ELAN_files" TargetMode="External"/><Relationship Id="rId4" Type="http://schemas.openxmlformats.org/officeDocument/2006/relationships/hyperlink" Target="https://w3id.org/ldac/profile" TargetMode="External"/><Relationship Id="rId9" Type="http://schemas.openxmlformats.org/officeDocument/2006/relationships/hyperlink" Target="https://ladal.edu.au/tools.html" TargetMode="External"/><Relationship Id="rId5" Type="http://schemas.openxmlformats.org/officeDocument/2006/relationships/hyperlink" Target="https://ladal.edu.au/tools.html" TargetMode="External"/><Relationship Id="rId6" Type="http://schemas.openxmlformats.org/officeDocument/2006/relationships/hyperlink" Target="https://ladal.edu.au/tools.html" TargetMode="External"/><Relationship Id="rId7" Type="http://schemas.openxmlformats.org/officeDocument/2006/relationships/hyperlink" Target="https://w3id.org/ldac/profile" TargetMode="External"/><Relationship Id="rId8" Type="http://schemas.openxmlformats.org/officeDocument/2006/relationships/hyperlink" Target="https://ladal.edu.au/tools.html" TargetMode="External"/><Relationship Id="rId73" Type="http://schemas.openxmlformats.org/officeDocument/2006/relationships/hyperlink" Target="https://ladal.edu.au/tools.html" TargetMode="External"/><Relationship Id="rId72" Type="http://schemas.openxmlformats.org/officeDocument/2006/relationships/hyperlink" Target="https://w3id.org/ldac/profile" TargetMode="External"/><Relationship Id="rId75" Type="http://schemas.openxmlformats.org/officeDocument/2006/relationships/hyperlink" Target="https://w3id.org/ldac/profile" TargetMode="External"/><Relationship Id="rId74" Type="http://schemas.openxmlformats.org/officeDocument/2006/relationships/hyperlink" Target="https://ladal.edu.au/tools.html" TargetMode="External"/><Relationship Id="rId77" Type="http://schemas.openxmlformats.org/officeDocument/2006/relationships/hyperlink" Target="https://ladal.edu.au/tools.html" TargetMode="External"/><Relationship Id="rId76" Type="http://schemas.openxmlformats.org/officeDocument/2006/relationships/hyperlink" Target="https://ladal.edu.au/tools.html" TargetMode="External"/><Relationship Id="rId79" Type="http://schemas.openxmlformats.org/officeDocument/2006/relationships/hyperlink" Target="https://ladal.edu.au/tools.html" TargetMode="External"/><Relationship Id="rId78" Type="http://schemas.openxmlformats.org/officeDocument/2006/relationships/hyperlink" Target="https://w3id.org/ldac/profile" TargetMode="External"/><Relationship Id="rId71" Type="http://schemas.openxmlformats.org/officeDocument/2006/relationships/hyperlink" Target="https://github.com/onset/lameta" TargetMode="External"/><Relationship Id="rId70" Type="http://schemas.openxmlformats.org/officeDocument/2006/relationships/hyperlink" Target="https://drive.google.com/file/d/1-glEdJnBILAr_zilv0rXGpdw7cNQP69k/view?usp=drive_link" TargetMode="External"/><Relationship Id="rId62" Type="http://schemas.openxmlformats.org/officeDocument/2006/relationships/hyperlink" Target="https://github.com/Australian-Text-Analytics-Platform/keywords-analysis" TargetMode="External"/><Relationship Id="rId61" Type="http://schemas.openxmlformats.org/officeDocument/2006/relationships/hyperlink" Target="https://w3id.org/ldac/profile" TargetMode="External"/><Relationship Id="rId64" Type="http://schemas.openxmlformats.org/officeDocument/2006/relationships/hyperlink" Target="https://drive.google.com/file/d/1vUsh5x7qDxrchV0iAA11Jt7yn8oE_huE/view?usp=drive_link" TargetMode="External"/><Relationship Id="rId63" Type="http://schemas.openxmlformats.org/officeDocument/2006/relationships/hyperlink" Target="https://github.com/Australian-Text-Analytics-Platform/keywords-analysis/blob/main/documents/keywords_help_pages.pdf" TargetMode="External"/><Relationship Id="rId66" Type="http://schemas.openxmlformats.org/officeDocument/2006/relationships/hyperlink" Target="https://w3id.org/ldac/profile" TargetMode="External"/><Relationship Id="rId65" Type="http://schemas.openxmlformats.org/officeDocument/2006/relationships/hyperlink" Target="https://github.com/Australian-Text-Analytics-Platform/keywords-analysis" TargetMode="External"/><Relationship Id="rId68" Type="http://schemas.openxmlformats.org/officeDocument/2006/relationships/hyperlink" Target="https://www.elararchive.org/uncategorized/SO_7557c4dd-1c83-485c-b95c-c0a292cfc42c/" TargetMode="External"/><Relationship Id="rId67" Type="http://schemas.openxmlformats.org/officeDocument/2006/relationships/hyperlink" Target="https://github.com/onset/laMETA/releases" TargetMode="External"/><Relationship Id="rId60" Type="http://schemas.openxmlformats.org/officeDocument/2006/relationships/hyperlink" Target="https://ladal.edu.au/tools.html" TargetMode="External"/><Relationship Id="rId69" Type="http://schemas.openxmlformats.org/officeDocument/2006/relationships/hyperlink" Target="https://github.com/onset/laMETA/releases" TargetMode="External"/><Relationship Id="rId51" Type="http://schemas.openxmlformats.org/officeDocument/2006/relationships/hyperlink" Target="https://w3id.org/ldac/profile" TargetMode="External"/><Relationship Id="rId50" Type="http://schemas.openxmlformats.org/officeDocument/2006/relationships/hyperlink" Target="https://ladal.edu.au/tools.html" TargetMode="External"/><Relationship Id="rId53" Type="http://schemas.openxmlformats.org/officeDocument/2006/relationships/hyperlink" Target="https://drive.google.com/file/d/1RlO2w5IzDgGiFU6JFtUeMhdeMdjc11dX/view?usp=drive_link" TargetMode="External"/><Relationship Id="rId52" Type="http://schemas.openxmlformats.org/officeDocument/2006/relationships/hyperlink" Target="https://github.com/Language-Research-Technology/image-dataset-explorer" TargetMode="External"/><Relationship Id="rId55" Type="http://schemas.openxmlformats.org/officeDocument/2006/relationships/hyperlink" Target="https://w3id.org/ldac/profile" TargetMode="External"/><Relationship Id="rId54" Type="http://schemas.openxmlformats.org/officeDocument/2006/relationships/hyperlink" Target="https://github.com/Language-Research-Technology/image-dataset-explorer" TargetMode="External"/><Relationship Id="rId57" Type="http://schemas.openxmlformats.org/officeDocument/2006/relationships/hyperlink" Target="https://ladal.edu.au/tools.html" TargetMode="External"/><Relationship Id="rId56" Type="http://schemas.openxmlformats.org/officeDocument/2006/relationships/hyperlink" Target="https://ladal.edu.au/tools.html" TargetMode="External"/><Relationship Id="rId59" Type="http://schemas.openxmlformats.org/officeDocument/2006/relationships/hyperlink" Target="https://ladal.edu.au/tools.html" TargetMode="External"/><Relationship Id="rId58" Type="http://schemas.openxmlformats.org/officeDocument/2006/relationships/hyperlink" Target="https://w3id.org/ldac/pro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3" max="3" width="43.0"/>
    <col customWidth="1" min="4" max="4" width="25.38"/>
    <col customWidth="1" min="5" max="5" width="20.25"/>
  </cols>
  <sheetData>
    <row r="1">
      <c r="A1" s="1" t="s">
        <v>0</v>
      </c>
      <c r="B1" s="1" t="s">
        <v>1</v>
      </c>
      <c r="C1" s="2" t="s">
        <v>2</v>
      </c>
      <c r="D1" s="2" t="s">
        <v>3</v>
      </c>
      <c r="E1" s="3" t="s">
        <v>4</v>
      </c>
      <c r="F1" s="2" t="s">
        <v>5</v>
      </c>
      <c r="G1" s="2" t="s">
        <v>6</v>
      </c>
      <c r="H1" s="2" t="s">
        <v>7</v>
      </c>
      <c r="I1" s="3" t="s">
        <v>8</v>
      </c>
      <c r="J1" s="3" t="s">
        <v>8</v>
      </c>
      <c r="K1" s="3" t="s">
        <v>8</v>
      </c>
      <c r="L1" s="3" t="s">
        <v>9</v>
      </c>
      <c r="M1" s="3" t="s">
        <v>9</v>
      </c>
      <c r="N1" s="3" t="s">
        <v>10</v>
      </c>
      <c r="O1" s="4" t="s">
        <v>11</v>
      </c>
      <c r="P1" s="3" t="s">
        <v>12</v>
      </c>
      <c r="Q1" s="3" t="s">
        <v>13</v>
      </c>
      <c r="R1" s="3" t="s">
        <v>14</v>
      </c>
      <c r="S1" s="2" t="s">
        <v>15</v>
      </c>
      <c r="T1" s="5" t="s">
        <v>16</v>
      </c>
      <c r="U1" s="5" t="s">
        <v>17</v>
      </c>
      <c r="V1" s="5" t="s">
        <v>18</v>
      </c>
      <c r="W1" s="4" t="s">
        <v>19</v>
      </c>
      <c r="X1" s="5" t="s">
        <v>20</v>
      </c>
      <c r="Y1" s="3" t="s">
        <v>21</v>
      </c>
      <c r="Z1" s="6" t="s">
        <v>22</v>
      </c>
    </row>
    <row r="2">
      <c r="A2" s="7" t="str">
        <f t="shared" ref="A2:A33" si="1">"arcp://name," &amp; SUBSTITUTE(SUBSTITUTE(SUBSTITUTE(E2, " ", ""), "(", ""), ")", "")</f>
        <v>arcp://name,AnonymisingELANFiles</v>
      </c>
      <c r="B2" s="8" t="s">
        <v>23</v>
      </c>
      <c r="C2" s="9" t="s">
        <v>24</v>
      </c>
      <c r="D2" s="7" t="str">
        <f t="shared" ref="D2:D33" si="2">RootDataset!$B$2</f>
        <v>./</v>
      </c>
      <c r="E2" s="7" t="s">
        <v>25</v>
      </c>
      <c r="F2" s="10">
        <v>46123.0</v>
      </c>
      <c r="G2" s="11"/>
      <c r="H2" s="11"/>
      <c r="I2" s="12" t="str">
        <f>Orgs_People!$A$3</f>
        <v>https://ror.org/019wvm592</v>
      </c>
      <c r="J2" s="13"/>
      <c r="K2" s="13"/>
      <c r="L2" s="12" t="str">
        <f>Orgs_People!$A$22</f>
        <v>https://orcid.org/0000-0003-4904-2941</v>
      </c>
      <c r="M2" s="13"/>
      <c r="N2" s="13" t="s">
        <v>26</v>
      </c>
      <c r="O2" s="14" t="s">
        <v>27</v>
      </c>
      <c r="P2" s="13" t="s">
        <v>28</v>
      </c>
      <c r="Q2" s="13" t="s">
        <v>29</v>
      </c>
      <c r="R2" s="11"/>
      <c r="S2" s="11"/>
      <c r="T2" s="13" t="s">
        <v>30</v>
      </c>
      <c r="U2" s="11"/>
      <c r="V2" s="11"/>
      <c r="W2" s="14" t="s">
        <v>27</v>
      </c>
      <c r="X2" s="11"/>
      <c r="Y2" s="11"/>
    </row>
    <row r="3">
      <c r="A3" s="7" t="str">
        <f t="shared" si="1"/>
        <v>arcp://name,CollocationAnalyser</v>
      </c>
      <c r="B3" s="8" t="s">
        <v>23</v>
      </c>
      <c r="C3" s="9" t="s">
        <v>24</v>
      </c>
      <c r="D3" s="7" t="str">
        <f t="shared" si="2"/>
        <v>./</v>
      </c>
      <c r="E3" s="7" t="s">
        <v>31</v>
      </c>
      <c r="F3" s="10">
        <v>46123.0</v>
      </c>
      <c r="G3" s="11"/>
      <c r="H3" s="11"/>
      <c r="I3" s="12" t="str">
        <f t="shared" ref="I3:I5" si="3">Orgs_People!$A$2</f>
        <v>https://ror.org/00rqy9422</v>
      </c>
      <c r="J3" s="12" t="str">
        <f t="shared" ref="J3:J5" si="4">Orgs_People!$A$10</f>
        <v>https://github.com/SLCLADAL/ladal</v>
      </c>
      <c r="K3" s="13"/>
      <c r="L3" s="12" t="str">
        <f t="shared" ref="L3:L5" si="5">Orgs_People!$A$16</f>
        <v>https://orcid.org/0000-0003-1923-9153</v>
      </c>
      <c r="M3" s="13"/>
      <c r="N3" s="13" t="s">
        <v>32</v>
      </c>
      <c r="O3" s="14" t="s">
        <v>33</v>
      </c>
      <c r="P3" s="13" t="s">
        <v>34</v>
      </c>
      <c r="Q3" s="13" t="s">
        <v>35</v>
      </c>
      <c r="R3" s="11"/>
      <c r="S3" s="11"/>
      <c r="T3" s="13" t="s">
        <v>36</v>
      </c>
      <c r="U3" s="11"/>
      <c r="V3" s="11"/>
      <c r="W3" s="14" t="s">
        <v>37</v>
      </c>
      <c r="X3" s="11"/>
      <c r="Y3" s="11"/>
      <c r="Z3" s="6">
        <v>1.0</v>
      </c>
    </row>
    <row r="4">
      <c r="A4" s="7" t="str">
        <f t="shared" si="1"/>
        <v>arcp://name,CollocationCalculator</v>
      </c>
      <c r="B4" s="8" t="s">
        <v>23</v>
      </c>
      <c r="C4" s="9" t="s">
        <v>24</v>
      </c>
      <c r="D4" s="7" t="str">
        <f t="shared" si="2"/>
        <v>./</v>
      </c>
      <c r="E4" s="7" t="s">
        <v>38</v>
      </c>
      <c r="F4" s="10">
        <v>46123.0</v>
      </c>
      <c r="G4" s="11"/>
      <c r="H4" s="15"/>
      <c r="I4" s="12" t="str">
        <f t="shared" si="3"/>
        <v>https://ror.org/00rqy9422</v>
      </c>
      <c r="J4" s="12" t="str">
        <f t="shared" si="4"/>
        <v>https://github.com/SLCLADAL/ladal</v>
      </c>
      <c r="K4" s="13"/>
      <c r="L4" s="12" t="str">
        <f t="shared" si="5"/>
        <v>https://orcid.org/0000-0003-1923-9153</v>
      </c>
      <c r="M4" s="13"/>
      <c r="N4" s="13" t="s">
        <v>39</v>
      </c>
      <c r="O4" s="14" t="s">
        <v>40</v>
      </c>
      <c r="P4" s="13" t="s">
        <v>41</v>
      </c>
      <c r="Q4" s="13" t="s">
        <v>35</v>
      </c>
      <c r="R4" s="11"/>
      <c r="S4" s="11"/>
      <c r="T4" s="13" t="s">
        <v>36</v>
      </c>
      <c r="U4" s="11"/>
      <c r="V4" s="11"/>
      <c r="W4" s="14" t="s">
        <v>42</v>
      </c>
      <c r="X4" s="11"/>
      <c r="Y4" s="11"/>
      <c r="Z4" s="6">
        <v>1.0</v>
      </c>
    </row>
    <row r="5">
      <c r="A5" s="7" t="str">
        <f t="shared" si="1"/>
        <v>arcp://name,ConcordanceExplorer</v>
      </c>
      <c r="B5" s="8" t="s">
        <v>23</v>
      </c>
      <c r="C5" s="9" t="s">
        <v>24</v>
      </c>
      <c r="D5" s="7" t="str">
        <f t="shared" si="2"/>
        <v>./</v>
      </c>
      <c r="E5" s="7" t="s">
        <v>43</v>
      </c>
      <c r="F5" s="10">
        <v>46123.0</v>
      </c>
      <c r="G5" s="11"/>
      <c r="H5" s="15"/>
      <c r="I5" s="12" t="str">
        <f t="shared" si="3"/>
        <v>https://ror.org/00rqy9422</v>
      </c>
      <c r="J5" s="12" t="str">
        <f t="shared" si="4"/>
        <v>https://github.com/SLCLADAL/ladal</v>
      </c>
      <c r="K5" s="13"/>
      <c r="L5" s="12" t="str">
        <f t="shared" si="5"/>
        <v>https://orcid.org/0000-0003-1923-9153</v>
      </c>
      <c r="M5" s="13"/>
      <c r="N5" s="13" t="s">
        <v>32</v>
      </c>
      <c r="O5" s="14" t="s">
        <v>33</v>
      </c>
      <c r="P5" s="13" t="s">
        <v>44</v>
      </c>
      <c r="Q5" s="13" t="s">
        <v>35</v>
      </c>
      <c r="R5" s="11"/>
      <c r="S5" s="11"/>
      <c r="T5" s="13" t="s">
        <v>45</v>
      </c>
      <c r="U5" s="11"/>
      <c r="V5" s="11"/>
      <c r="W5" s="14" t="s">
        <v>46</v>
      </c>
      <c r="X5" s="11"/>
      <c r="Y5" s="11"/>
      <c r="Z5" s="6">
        <v>1.0</v>
      </c>
    </row>
    <row r="6">
      <c r="A6" s="7" t="str">
        <f t="shared" si="1"/>
        <v>arcp://name,Concordancer</v>
      </c>
      <c r="B6" s="8" t="s">
        <v>23</v>
      </c>
      <c r="C6" s="9" t="s">
        <v>24</v>
      </c>
      <c r="D6" s="7" t="str">
        <f t="shared" si="2"/>
        <v>./</v>
      </c>
      <c r="E6" s="7" t="s">
        <v>47</v>
      </c>
      <c r="F6" s="10">
        <v>46123.0</v>
      </c>
      <c r="G6" s="11"/>
      <c r="H6" s="13" t="s">
        <v>48</v>
      </c>
      <c r="I6" s="12" t="str">
        <f>Orgs_People!$A$5</f>
        <v>https://ror.org/0384j8v12</v>
      </c>
      <c r="J6" s="16" t="str">
        <f>Orgs_People!$A$8</f>
        <v>https://github.com/Sydney-Informatics-Hub</v>
      </c>
      <c r="K6" s="17"/>
      <c r="L6" s="16" t="str">
        <f>Orgs_People!A15</f>
        <v>https://orcid.org/0000-0002-3616-6235</v>
      </c>
      <c r="M6" s="13"/>
      <c r="N6" s="13" t="s">
        <v>26</v>
      </c>
      <c r="O6" s="18" t="s">
        <v>49</v>
      </c>
      <c r="P6" s="13" t="s">
        <v>50</v>
      </c>
      <c r="Q6" s="13" t="s">
        <v>51</v>
      </c>
      <c r="R6" s="18" t="s">
        <v>52</v>
      </c>
      <c r="S6" s="13" t="s">
        <v>53</v>
      </c>
      <c r="T6" s="13" t="s">
        <v>54</v>
      </c>
      <c r="U6" s="11"/>
      <c r="V6" s="19" t="s">
        <v>55</v>
      </c>
      <c r="W6" s="14" t="s">
        <v>49</v>
      </c>
      <c r="X6" s="11"/>
      <c r="Y6" s="11"/>
      <c r="Z6" s="6">
        <v>1.0</v>
      </c>
    </row>
    <row r="7">
      <c r="A7" s="7" t="str">
        <f t="shared" si="1"/>
        <v>arcp://name,Crate-O</v>
      </c>
      <c r="B7" s="8" t="s">
        <v>23</v>
      </c>
      <c r="C7" s="9" t="s">
        <v>24</v>
      </c>
      <c r="D7" s="7" t="str">
        <f t="shared" si="2"/>
        <v>./</v>
      </c>
      <c r="E7" s="7" t="s">
        <v>56</v>
      </c>
      <c r="F7" s="10">
        <v>46123.0</v>
      </c>
      <c r="G7" s="11"/>
      <c r="H7" s="13" t="s">
        <v>57</v>
      </c>
      <c r="I7" s="12" t="str">
        <f>Orgs_People!A2</f>
        <v>https://ror.org/00rqy9422</v>
      </c>
      <c r="J7" s="12" t="str">
        <f>Orgs_People!A7</f>
        <v>https://github.com/Language-Research-Technology</v>
      </c>
      <c r="K7" s="13"/>
      <c r="L7" s="12" t="str">
        <f>Orgs_People!A17</f>
        <v>https://orcid.org/0000-0002-4438-2755</v>
      </c>
      <c r="M7" s="13"/>
      <c r="N7" s="13" t="s">
        <v>39</v>
      </c>
      <c r="O7" s="14" t="s">
        <v>58</v>
      </c>
      <c r="P7" s="13" t="s">
        <v>59</v>
      </c>
      <c r="Q7" s="13" t="s">
        <v>60</v>
      </c>
      <c r="R7" s="14" t="s">
        <v>61</v>
      </c>
      <c r="S7" s="11"/>
      <c r="T7" s="13" t="s">
        <v>62</v>
      </c>
      <c r="U7" s="13" t="s">
        <v>63</v>
      </c>
      <c r="V7" s="19" t="s">
        <v>64</v>
      </c>
      <c r="W7" s="14" t="s">
        <v>58</v>
      </c>
      <c r="X7" s="11"/>
      <c r="Y7" s="11"/>
    </row>
    <row r="8">
      <c r="A8" s="7" t="str">
        <f t="shared" si="1"/>
        <v>arcp://name,Discursis</v>
      </c>
      <c r="B8" s="8" t="s">
        <v>23</v>
      </c>
      <c r="C8" s="9" t="s">
        <v>24</v>
      </c>
      <c r="D8" s="7" t="str">
        <f t="shared" si="2"/>
        <v>./</v>
      </c>
      <c r="E8" s="7" t="s">
        <v>65</v>
      </c>
      <c r="F8" s="10">
        <v>46123.0</v>
      </c>
      <c r="G8" s="11"/>
      <c r="H8" s="11"/>
      <c r="I8" s="12" t="str">
        <f t="shared" ref="I8:I9" si="6">Orgs_People!$A$5</f>
        <v>https://ror.org/0384j8v12</v>
      </c>
      <c r="J8" s="16" t="str">
        <f t="shared" ref="J8:J9" si="7">Orgs_People!$A$8</f>
        <v>https://github.com/Sydney-Informatics-Hub</v>
      </c>
      <c r="K8" s="20"/>
      <c r="L8" s="20"/>
      <c r="M8" s="13"/>
      <c r="N8" s="13" t="s">
        <v>26</v>
      </c>
      <c r="O8" s="18" t="s">
        <v>66</v>
      </c>
      <c r="P8" s="13" t="s">
        <v>67</v>
      </c>
      <c r="Q8" s="13" t="s">
        <v>68</v>
      </c>
      <c r="R8" s="18" t="s">
        <v>69</v>
      </c>
      <c r="S8" s="13" t="s">
        <v>70</v>
      </c>
      <c r="T8" s="13" t="s">
        <v>67</v>
      </c>
      <c r="U8" s="11"/>
      <c r="V8" s="19" t="s">
        <v>71</v>
      </c>
      <c r="W8" s="14" t="s">
        <v>66</v>
      </c>
      <c r="X8" s="11"/>
      <c r="Y8" s="13" t="s">
        <v>72</v>
      </c>
      <c r="Z8" s="6">
        <v>1.0</v>
      </c>
    </row>
    <row r="9">
      <c r="A9" s="7" t="str">
        <f t="shared" si="1"/>
        <v>arcp://name,DocumentSimilarity</v>
      </c>
      <c r="B9" s="8" t="s">
        <v>23</v>
      </c>
      <c r="C9" s="9" t="s">
        <v>24</v>
      </c>
      <c r="D9" s="7" t="str">
        <f t="shared" si="2"/>
        <v>./</v>
      </c>
      <c r="E9" s="7" t="s">
        <v>73</v>
      </c>
      <c r="F9" s="10">
        <v>46123.0</v>
      </c>
      <c r="G9" s="11"/>
      <c r="H9" s="13" t="s">
        <v>74</v>
      </c>
      <c r="I9" s="12" t="str">
        <f t="shared" si="6"/>
        <v>https://ror.org/0384j8v12</v>
      </c>
      <c r="J9" s="16" t="str">
        <f t="shared" si="7"/>
        <v>https://github.com/Sydney-Informatics-Hub</v>
      </c>
      <c r="K9" s="17"/>
      <c r="L9" s="17" t="str">
        <f>Orgs_People!$A$21</f>
        <v>#SonyJufri</v>
      </c>
      <c r="M9" s="12" t="str">
        <f>Orgs_People!$A$12</f>
        <v>https://orcid.org/0000-0002-1428-2649</v>
      </c>
      <c r="N9" s="13" t="s">
        <v>26</v>
      </c>
      <c r="O9" s="18" t="s">
        <v>75</v>
      </c>
      <c r="P9" s="13" t="s">
        <v>76</v>
      </c>
      <c r="Q9" s="13" t="s">
        <v>51</v>
      </c>
      <c r="R9" s="18" t="s">
        <v>77</v>
      </c>
      <c r="S9" s="13" t="s">
        <v>78</v>
      </c>
      <c r="T9" s="13" t="s">
        <v>76</v>
      </c>
      <c r="U9" s="11"/>
      <c r="V9" s="19" t="s">
        <v>79</v>
      </c>
      <c r="W9" s="14" t="s">
        <v>75</v>
      </c>
      <c r="X9" s="11"/>
      <c r="Y9" s="11"/>
      <c r="Z9" s="6">
        <v>1.0</v>
      </c>
    </row>
    <row r="10">
      <c r="A10" s="7" t="str">
        <f t="shared" si="1"/>
        <v>arcp://name,ELANAnnotationSplitter</v>
      </c>
      <c r="B10" s="8" t="s">
        <v>23</v>
      </c>
      <c r="C10" s="9" t="s">
        <v>24</v>
      </c>
      <c r="D10" s="7" t="str">
        <f t="shared" si="2"/>
        <v>./</v>
      </c>
      <c r="E10" s="7" t="s">
        <v>80</v>
      </c>
      <c r="F10" s="10">
        <v>46123.0</v>
      </c>
      <c r="G10" s="11"/>
      <c r="H10" s="11"/>
      <c r="I10" s="12" t="str">
        <f t="shared" ref="I10:I14" si="8">Orgs_People!$A$3</f>
        <v>https://ror.org/019wvm592</v>
      </c>
      <c r="J10" s="13"/>
      <c r="K10" s="13"/>
      <c r="L10" s="12" t="str">
        <f t="shared" ref="L10:L14" si="9">Orgs_People!$A$22</f>
        <v>https://orcid.org/0000-0003-4904-2941</v>
      </c>
      <c r="M10" s="13"/>
      <c r="N10" s="13" t="s">
        <v>81</v>
      </c>
      <c r="O10" s="14" t="s">
        <v>82</v>
      </c>
      <c r="P10" s="13" t="s">
        <v>83</v>
      </c>
      <c r="Q10" s="13" t="s">
        <v>29</v>
      </c>
      <c r="R10" s="11"/>
      <c r="S10" s="11"/>
      <c r="T10" s="13" t="s">
        <v>84</v>
      </c>
      <c r="U10" s="11"/>
      <c r="V10" s="11"/>
      <c r="W10" s="14" t="s">
        <v>82</v>
      </c>
      <c r="X10" s="11"/>
      <c r="Y10" s="11"/>
    </row>
    <row r="11">
      <c r="A11" s="7" t="str">
        <f t="shared" si="1"/>
        <v>arcp://name,ELANAudioSegmentation</v>
      </c>
      <c r="B11" s="8" t="s">
        <v>23</v>
      </c>
      <c r="C11" s="9" t="s">
        <v>24</v>
      </c>
      <c r="D11" s="7" t="str">
        <f t="shared" si="2"/>
        <v>./</v>
      </c>
      <c r="E11" s="7" t="s">
        <v>85</v>
      </c>
      <c r="F11" s="10">
        <v>46123.0</v>
      </c>
      <c r="G11" s="11"/>
      <c r="H11" s="11"/>
      <c r="I11" s="12" t="str">
        <f t="shared" si="8"/>
        <v>https://ror.org/019wvm592</v>
      </c>
      <c r="J11" s="13"/>
      <c r="K11" s="13"/>
      <c r="L11" s="12" t="str">
        <f t="shared" si="9"/>
        <v>https://orcid.org/0000-0003-4904-2941</v>
      </c>
      <c r="M11" s="13"/>
      <c r="N11" s="13" t="s">
        <v>81</v>
      </c>
      <c r="O11" s="14" t="s">
        <v>82</v>
      </c>
      <c r="P11" s="13" t="s">
        <v>86</v>
      </c>
      <c r="Q11" s="13" t="s">
        <v>87</v>
      </c>
      <c r="R11" s="11"/>
      <c r="S11" s="11"/>
      <c r="T11" s="13" t="s">
        <v>88</v>
      </c>
      <c r="U11" s="11"/>
      <c r="V11" s="11"/>
      <c r="W11" s="14" t="s">
        <v>82</v>
      </c>
      <c r="X11" s="11"/>
      <c r="Y11" s="11"/>
    </row>
    <row r="12">
      <c r="A12" s="7" t="str">
        <f t="shared" si="1"/>
        <v>arcp://name,ELANCommander</v>
      </c>
      <c r="B12" s="8" t="s">
        <v>23</v>
      </c>
      <c r="C12" s="9" t="s">
        <v>24</v>
      </c>
      <c r="D12" s="7" t="str">
        <f t="shared" si="2"/>
        <v>./</v>
      </c>
      <c r="E12" s="7" t="s">
        <v>89</v>
      </c>
      <c r="F12" s="10">
        <v>46123.0</v>
      </c>
      <c r="G12" s="11"/>
      <c r="H12" s="11"/>
      <c r="I12" s="12" t="str">
        <f t="shared" si="8"/>
        <v>https://ror.org/019wvm592</v>
      </c>
      <c r="J12" s="13"/>
      <c r="K12" s="13"/>
      <c r="L12" s="12" t="str">
        <f t="shared" si="9"/>
        <v>https://orcid.org/0000-0003-4904-2941</v>
      </c>
      <c r="M12" s="13"/>
      <c r="N12" s="13" t="s">
        <v>39</v>
      </c>
      <c r="O12" s="14" t="s">
        <v>90</v>
      </c>
      <c r="P12" s="13" t="s">
        <v>91</v>
      </c>
      <c r="Q12" s="13" t="s">
        <v>29</v>
      </c>
      <c r="R12" s="11"/>
      <c r="S12" s="11"/>
      <c r="T12" s="13" t="s">
        <v>92</v>
      </c>
      <c r="U12" s="11"/>
      <c r="V12" s="11"/>
      <c r="W12" s="14" t="s">
        <v>90</v>
      </c>
      <c r="X12" s="11"/>
      <c r="Y12" s="11"/>
    </row>
    <row r="13">
      <c r="A13" s="7" t="str">
        <f t="shared" si="1"/>
        <v>arcp://name,ELANInventory</v>
      </c>
      <c r="B13" s="8" t="s">
        <v>23</v>
      </c>
      <c r="C13" s="9" t="s">
        <v>24</v>
      </c>
      <c r="D13" s="7" t="str">
        <f t="shared" si="2"/>
        <v>./</v>
      </c>
      <c r="E13" s="7" t="s">
        <v>93</v>
      </c>
      <c r="F13" s="10">
        <v>46123.0</v>
      </c>
      <c r="G13" s="11"/>
      <c r="H13" s="11"/>
      <c r="I13" s="12" t="str">
        <f t="shared" si="8"/>
        <v>https://ror.org/019wvm592</v>
      </c>
      <c r="J13" s="13"/>
      <c r="K13" s="13"/>
      <c r="L13" s="12" t="str">
        <f t="shared" si="9"/>
        <v>https://orcid.org/0000-0003-4904-2941</v>
      </c>
      <c r="M13" s="13"/>
      <c r="N13" s="13" t="s">
        <v>39</v>
      </c>
      <c r="O13" s="14" t="s">
        <v>94</v>
      </c>
      <c r="P13" s="13" t="s">
        <v>95</v>
      </c>
      <c r="Q13" s="13" t="s">
        <v>29</v>
      </c>
      <c r="R13" s="11"/>
      <c r="S13" s="11"/>
      <c r="T13" s="13" t="s">
        <v>96</v>
      </c>
      <c r="U13" s="11"/>
      <c r="V13" s="11"/>
      <c r="W13" s="14" t="s">
        <v>94</v>
      </c>
      <c r="X13" s="11"/>
      <c r="Y13" s="11"/>
    </row>
    <row r="14">
      <c r="A14" s="7" t="str">
        <f t="shared" si="1"/>
        <v>arcp://name,ELANReplacer</v>
      </c>
      <c r="B14" s="8" t="s">
        <v>23</v>
      </c>
      <c r="C14" s="9" t="s">
        <v>24</v>
      </c>
      <c r="D14" s="7" t="str">
        <f t="shared" si="2"/>
        <v>./</v>
      </c>
      <c r="E14" s="7" t="s">
        <v>97</v>
      </c>
      <c r="F14" s="10">
        <v>46123.0</v>
      </c>
      <c r="G14" s="11"/>
      <c r="H14" s="11"/>
      <c r="I14" s="12" t="str">
        <f t="shared" si="8"/>
        <v>https://ror.org/019wvm592</v>
      </c>
      <c r="J14" s="13"/>
      <c r="K14" s="13"/>
      <c r="L14" s="12" t="str">
        <f t="shared" si="9"/>
        <v>https://orcid.org/0000-0003-4904-2941</v>
      </c>
      <c r="M14" s="13"/>
      <c r="N14" s="13" t="s">
        <v>81</v>
      </c>
      <c r="O14" s="14" t="s">
        <v>82</v>
      </c>
      <c r="P14" s="13" t="s">
        <v>98</v>
      </c>
      <c r="Q14" s="13" t="s">
        <v>29</v>
      </c>
      <c r="R14" s="11"/>
      <c r="S14" s="11"/>
      <c r="T14" s="13" t="s">
        <v>99</v>
      </c>
      <c r="U14" s="11"/>
      <c r="V14" s="11"/>
      <c r="W14" s="14" t="s">
        <v>82</v>
      </c>
      <c r="X14" s="11"/>
      <c r="Y14" s="11"/>
    </row>
    <row r="15">
      <c r="A15" s="7" t="str">
        <f t="shared" si="1"/>
        <v>arcp://name,FileRenamer</v>
      </c>
      <c r="B15" s="8" t="s">
        <v>23</v>
      </c>
      <c r="C15" s="9" t="s">
        <v>24</v>
      </c>
      <c r="D15" s="7" t="str">
        <f t="shared" si="2"/>
        <v>./</v>
      </c>
      <c r="E15" s="7" t="s">
        <v>100</v>
      </c>
      <c r="F15" s="10">
        <v>46123.0</v>
      </c>
      <c r="G15" s="11"/>
      <c r="H15" s="15"/>
      <c r="I15" s="12" t="str">
        <f>Orgs_People!$A$2</f>
        <v>https://ror.org/00rqy9422</v>
      </c>
      <c r="J15" s="12" t="str">
        <f>Orgs_People!$A$10</f>
        <v>https://github.com/SLCLADAL/ladal</v>
      </c>
      <c r="K15" s="13"/>
      <c r="L15" s="12" t="str">
        <f>Orgs_People!$A$16</f>
        <v>https://orcid.org/0000-0003-1923-9153</v>
      </c>
      <c r="M15" s="13"/>
      <c r="N15" s="13" t="s">
        <v>39</v>
      </c>
      <c r="O15" s="14" t="s">
        <v>40</v>
      </c>
      <c r="P15" s="13" t="s">
        <v>101</v>
      </c>
      <c r="Q15" s="13" t="s">
        <v>35</v>
      </c>
      <c r="R15" s="11"/>
      <c r="S15" s="11"/>
      <c r="T15" s="13" t="s">
        <v>102</v>
      </c>
      <c r="U15" s="11"/>
      <c r="V15" s="11"/>
      <c r="W15" s="14" t="s">
        <v>103</v>
      </c>
      <c r="X15" s="11"/>
      <c r="Y15" s="11"/>
    </row>
    <row r="16">
      <c r="A16" s="7" t="str">
        <f t="shared" si="1"/>
        <v>arcp://name,ImageDatasetExplorer</v>
      </c>
      <c r="B16" s="8" t="s">
        <v>23</v>
      </c>
      <c r="C16" s="9" t="s">
        <v>24</v>
      </c>
      <c r="D16" s="7" t="str">
        <f t="shared" si="2"/>
        <v>./</v>
      </c>
      <c r="E16" s="7" t="s">
        <v>104</v>
      </c>
      <c r="F16" s="10">
        <v>46123.0</v>
      </c>
      <c r="G16" s="11"/>
      <c r="H16" s="11"/>
      <c r="I16" s="12" t="str">
        <f>Orgs_People!A2</f>
        <v>https://ror.org/00rqy9422</v>
      </c>
      <c r="J16" s="12" t="str">
        <f>Orgs_People!A11</f>
        <v>https://hass.uq.edu.au/centre-digital-cultures-societies</v>
      </c>
      <c r="K16" s="12" t="str">
        <f>Orgs_People!A7</f>
        <v>https://github.com/Language-Research-Technology</v>
      </c>
      <c r="L16" s="12" t="str">
        <f>Orgs_People!A13</f>
        <v>https://orcid.org/0009-0008-4603-9521</v>
      </c>
      <c r="M16" s="12" t="str">
        <f>Orgs_People!A20</f>
        <v>https://orcid.org/0000-0002-1824-2361</v>
      </c>
      <c r="N16" s="13" t="s">
        <v>26</v>
      </c>
      <c r="O16" s="14" t="s">
        <v>105</v>
      </c>
      <c r="P16" s="13" t="s">
        <v>106</v>
      </c>
      <c r="Q16" s="13" t="s">
        <v>107</v>
      </c>
      <c r="R16" s="11"/>
      <c r="S16" s="11"/>
      <c r="T16" s="13" t="s">
        <v>108</v>
      </c>
      <c r="U16" s="13" t="s">
        <v>109</v>
      </c>
      <c r="V16" s="19" t="s">
        <v>110</v>
      </c>
      <c r="W16" s="14" t="s">
        <v>105</v>
      </c>
      <c r="X16" s="11"/>
      <c r="Y16" s="11"/>
      <c r="Z16" s="6">
        <v>1.0</v>
      </c>
    </row>
    <row r="17">
      <c r="A17" s="7" t="str">
        <f t="shared" si="1"/>
        <v>arcp://name,KeywordFinder</v>
      </c>
      <c r="B17" s="8" t="s">
        <v>23</v>
      </c>
      <c r="C17" s="9" t="s">
        <v>24</v>
      </c>
      <c r="D17" s="7" t="str">
        <f t="shared" si="2"/>
        <v>./</v>
      </c>
      <c r="E17" s="7" t="s">
        <v>111</v>
      </c>
      <c r="F17" s="10">
        <v>46123.0</v>
      </c>
      <c r="G17" s="11"/>
      <c r="H17" s="11"/>
      <c r="I17" s="12" t="str">
        <f t="shared" ref="I17:I18" si="10">Orgs_People!$A$2</f>
        <v>https://ror.org/00rqy9422</v>
      </c>
      <c r="J17" s="12" t="str">
        <f t="shared" ref="J17:J18" si="11">Orgs_People!$A$10</f>
        <v>https://github.com/SLCLADAL/ladal</v>
      </c>
      <c r="K17" s="13"/>
      <c r="L17" s="12" t="str">
        <f t="shared" ref="L17:L18" si="12">Orgs_People!$A$16</f>
        <v>https://orcid.org/0000-0003-1923-9153</v>
      </c>
      <c r="M17" s="13"/>
      <c r="N17" s="13" t="s">
        <v>32</v>
      </c>
      <c r="O17" s="14" t="s">
        <v>33</v>
      </c>
      <c r="P17" s="13" t="s">
        <v>112</v>
      </c>
      <c r="Q17" s="13" t="s">
        <v>35</v>
      </c>
      <c r="R17" s="11"/>
      <c r="S17" s="11"/>
      <c r="T17" s="13" t="s">
        <v>113</v>
      </c>
      <c r="U17" s="11"/>
      <c r="V17" s="11"/>
      <c r="W17" s="14" t="s">
        <v>114</v>
      </c>
      <c r="X17" s="11"/>
      <c r="Y17" s="11"/>
      <c r="Z17" s="6">
        <v>1.0</v>
      </c>
    </row>
    <row r="18">
      <c r="A18" s="7" t="str">
        <f t="shared" si="1"/>
        <v>arcp://name,KeywordExtractor</v>
      </c>
      <c r="B18" s="8" t="s">
        <v>23</v>
      </c>
      <c r="C18" s="9" t="s">
        <v>24</v>
      </c>
      <c r="D18" s="7" t="str">
        <f t="shared" si="2"/>
        <v>./</v>
      </c>
      <c r="E18" s="7" t="s">
        <v>115</v>
      </c>
      <c r="F18" s="10">
        <v>46123.0</v>
      </c>
      <c r="G18" s="11"/>
      <c r="H18" s="11"/>
      <c r="I18" s="12" t="str">
        <f t="shared" si="10"/>
        <v>https://ror.org/00rqy9422</v>
      </c>
      <c r="J18" s="12" t="str">
        <f t="shared" si="11"/>
        <v>https://github.com/SLCLADAL/ladal</v>
      </c>
      <c r="K18" s="13"/>
      <c r="L18" s="12" t="str">
        <f t="shared" si="12"/>
        <v>https://orcid.org/0000-0003-1923-9153</v>
      </c>
      <c r="M18" s="13"/>
      <c r="N18" s="13" t="s">
        <v>39</v>
      </c>
      <c r="O18" s="14" t="s">
        <v>40</v>
      </c>
      <c r="P18" s="13" t="s">
        <v>116</v>
      </c>
      <c r="Q18" s="13" t="s">
        <v>35</v>
      </c>
      <c r="R18" s="11"/>
      <c r="S18" s="11"/>
      <c r="T18" s="13" t="s">
        <v>117</v>
      </c>
      <c r="U18" s="11"/>
      <c r="V18" s="11"/>
      <c r="W18" s="14" t="s">
        <v>118</v>
      </c>
      <c r="X18" s="11"/>
      <c r="Y18" s="11"/>
      <c r="Z18" s="6">
        <v>1.0</v>
      </c>
    </row>
    <row r="19">
      <c r="A19" s="7" t="str">
        <f t="shared" si="1"/>
        <v>arcp://name,KeywordsAnalysis</v>
      </c>
      <c r="B19" s="8" t="s">
        <v>23</v>
      </c>
      <c r="C19" s="9" t="s">
        <v>24</v>
      </c>
      <c r="D19" s="7" t="str">
        <f t="shared" si="2"/>
        <v>./</v>
      </c>
      <c r="E19" s="7" t="s">
        <v>119</v>
      </c>
      <c r="F19" s="10">
        <v>46123.0</v>
      </c>
      <c r="G19" s="11"/>
      <c r="H19" s="13" t="s">
        <v>48</v>
      </c>
      <c r="I19" s="12" t="str">
        <f>Orgs_People!$A$5</f>
        <v>https://ror.org/0384j8v12</v>
      </c>
      <c r="J19" s="16" t="str">
        <f>Orgs_People!$A$8</f>
        <v>https://github.com/Sydney-Informatics-Hub</v>
      </c>
      <c r="K19" s="17"/>
      <c r="L19" s="17" t="str">
        <f>Orgs_People!$A$21</f>
        <v>#SonyJufri</v>
      </c>
      <c r="M19" s="12" t="str">
        <f>Orgs_People!$A$12</f>
        <v>https://orcid.org/0000-0002-1428-2649</v>
      </c>
      <c r="N19" s="13" t="s">
        <v>26</v>
      </c>
      <c r="O19" s="18" t="s">
        <v>120</v>
      </c>
      <c r="P19" s="13" t="s">
        <v>121</v>
      </c>
      <c r="Q19" s="13" t="s">
        <v>51</v>
      </c>
      <c r="R19" s="18" t="s">
        <v>122</v>
      </c>
      <c r="S19" s="13" t="s">
        <v>123</v>
      </c>
      <c r="T19" s="13" t="s">
        <v>124</v>
      </c>
      <c r="U19" s="11"/>
      <c r="V19" s="19" t="s">
        <v>125</v>
      </c>
      <c r="W19" s="14" t="s">
        <v>120</v>
      </c>
      <c r="X19" s="11"/>
      <c r="Y19" s="11"/>
      <c r="Z19" s="6">
        <v>1.0</v>
      </c>
    </row>
    <row r="20">
      <c r="A20" s="7" t="str">
        <f t="shared" si="1"/>
        <v>arcp://name,Lameta</v>
      </c>
      <c r="B20" s="8" t="s">
        <v>23</v>
      </c>
      <c r="C20" s="9" t="s">
        <v>24</v>
      </c>
      <c r="D20" s="7" t="str">
        <f t="shared" si="2"/>
        <v>./</v>
      </c>
      <c r="E20" s="7" t="s">
        <v>126</v>
      </c>
      <c r="F20" s="10">
        <v>46123.0</v>
      </c>
      <c r="G20" s="11"/>
      <c r="H20" s="13" t="s">
        <v>127</v>
      </c>
      <c r="I20" s="12" t="str">
        <f>Orgs_People!A4</f>
        <v>https://ror.org/01ej9dk98</v>
      </c>
      <c r="J20" s="13"/>
      <c r="K20" s="13"/>
      <c r="L20" s="13" t="str">
        <f>Orgs_People!A14</f>
        <v>#JohnHatton</v>
      </c>
      <c r="M20" s="12" t="str">
        <f>Orgs_People!A18</f>
        <v>https://orcid.org/0000-0001-8797-1018</v>
      </c>
      <c r="N20" s="13" t="s">
        <v>81</v>
      </c>
      <c r="O20" s="18" t="s">
        <v>128</v>
      </c>
      <c r="P20" s="13" t="s">
        <v>129</v>
      </c>
      <c r="Q20" s="13" t="s">
        <v>130</v>
      </c>
      <c r="R20" s="14" t="s">
        <v>131</v>
      </c>
      <c r="S20" s="12" t="s">
        <v>132</v>
      </c>
      <c r="T20" s="13" t="s">
        <v>133</v>
      </c>
      <c r="U20" s="13" t="s">
        <v>134</v>
      </c>
      <c r="V20" s="19" t="s">
        <v>135</v>
      </c>
      <c r="W20" s="14" t="s">
        <v>136</v>
      </c>
      <c r="X20" s="11"/>
      <c r="Y20" s="11"/>
    </row>
    <row r="21">
      <c r="A21" s="7" t="str">
        <f t="shared" si="1"/>
        <v>arcp://name,NetworkVisualiser</v>
      </c>
      <c r="B21" s="8" t="s">
        <v>23</v>
      </c>
      <c r="C21" s="9" t="s">
        <v>24</v>
      </c>
      <c r="D21" s="7" t="str">
        <f t="shared" si="2"/>
        <v>./</v>
      </c>
      <c r="E21" s="7" t="s">
        <v>137</v>
      </c>
      <c r="F21" s="10">
        <v>46123.0</v>
      </c>
      <c r="G21" s="11"/>
      <c r="H21" s="11"/>
      <c r="I21" s="12" t="str">
        <f t="shared" ref="I21:I23" si="13">Orgs_People!$A$2</f>
        <v>https://ror.org/00rqy9422</v>
      </c>
      <c r="J21" s="12" t="str">
        <f t="shared" ref="J21:J23" si="14">Orgs_People!$A$10</f>
        <v>https://github.com/SLCLADAL/ladal</v>
      </c>
      <c r="K21" s="13"/>
      <c r="L21" s="12" t="str">
        <f t="shared" ref="L21:L23" si="15">Orgs_People!$A$16</f>
        <v>https://orcid.org/0000-0003-1923-9153</v>
      </c>
      <c r="M21" s="13"/>
      <c r="N21" s="13" t="s">
        <v>32</v>
      </c>
      <c r="O21" s="14" t="s">
        <v>33</v>
      </c>
      <c r="P21" s="13" t="s">
        <v>138</v>
      </c>
      <c r="Q21" s="13" t="s">
        <v>139</v>
      </c>
      <c r="R21" s="11"/>
      <c r="S21" s="11"/>
      <c r="T21" s="13" t="s">
        <v>140</v>
      </c>
      <c r="U21" s="11"/>
      <c r="V21" s="11"/>
      <c r="W21" s="14" t="s">
        <v>141</v>
      </c>
      <c r="X21" s="11"/>
      <c r="Y21" s="13" t="s">
        <v>142</v>
      </c>
      <c r="Z21" s="6">
        <v>1.0</v>
      </c>
    </row>
    <row r="22">
      <c r="A22" s="7" t="str">
        <f t="shared" si="1"/>
        <v>arcp://name,Part-of-SpeechTagger</v>
      </c>
      <c r="B22" s="8" t="s">
        <v>23</v>
      </c>
      <c r="C22" s="9" t="s">
        <v>24</v>
      </c>
      <c r="D22" s="7" t="str">
        <f t="shared" si="2"/>
        <v>./</v>
      </c>
      <c r="E22" s="7" t="s">
        <v>143</v>
      </c>
      <c r="F22" s="10">
        <v>46123.0</v>
      </c>
      <c r="G22" s="11"/>
      <c r="H22" s="11"/>
      <c r="I22" s="12" t="str">
        <f t="shared" si="13"/>
        <v>https://ror.org/00rqy9422</v>
      </c>
      <c r="J22" s="12" t="str">
        <f t="shared" si="14"/>
        <v>https://github.com/SLCLADAL/ladal</v>
      </c>
      <c r="K22" s="13"/>
      <c r="L22" s="12" t="str">
        <f t="shared" si="15"/>
        <v>https://orcid.org/0000-0003-1923-9153</v>
      </c>
      <c r="M22" s="13"/>
      <c r="N22" s="13" t="s">
        <v>32</v>
      </c>
      <c r="O22" s="14" t="s">
        <v>33</v>
      </c>
      <c r="P22" s="13" t="s">
        <v>144</v>
      </c>
      <c r="Q22" s="13" t="s">
        <v>35</v>
      </c>
      <c r="R22" s="11"/>
      <c r="S22" s="11"/>
      <c r="T22" s="13" t="s">
        <v>145</v>
      </c>
      <c r="U22" s="11"/>
      <c r="V22" s="11"/>
      <c r="W22" s="14" t="s">
        <v>146</v>
      </c>
      <c r="X22" s="11"/>
      <c r="Y22" s="11"/>
      <c r="Z22" s="6">
        <v>1.0</v>
      </c>
    </row>
    <row r="23">
      <c r="A23" s="7" t="str">
        <f t="shared" si="1"/>
        <v>arcp://name,POSTagger</v>
      </c>
      <c r="B23" s="8" t="s">
        <v>23</v>
      </c>
      <c r="C23" s="9" t="s">
        <v>24</v>
      </c>
      <c r="D23" s="7" t="str">
        <f t="shared" si="2"/>
        <v>./</v>
      </c>
      <c r="E23" s="7" t="s">
        <v>147</v>
      </c>
      <c r="F23" s="10">
        <v>46123.0</v>
      </c>
      <c r="G23" s="11"/>
      <c r="H23" s="15"/>
      <c r="I23" s="12" t="str">
        <f t="shared" si="13"/>
        <v>https://ror.org/00rqy9422</v>
      </c>
      <c r="J23" s="12" t="str">
        <f t="shared" si="14"/>
        <v>https://github.com/SLCLADAL/ladal</v>
      </c>
      <c r="K23" s="13"/>
      <c r="L23" s="12" t="str">
        <f t="shared" si="15"/>
        <v>https://orcid.org/0000-0003-1923-9153</v>
      </c>
      <c r="M23" s="13"/>
      <c r="N23" s="13" t="s">
        <v>39</v>
      </c>
      <c r="O23" s="14" t="s">
        <v>40</v>
      </c>
      <c r="P23" s="13" t="s">
        <v>148</v>
      </c>
      <c r="Q23" s="13" t="s">
        <v>35</v>
      </c>
      <c r="R23" s="11"/>
      <c r="S23" s="11"/>
      <c r="T23" s="13" t="s">
        <v>145</v>
      </c>
      <c r="U23" s="11"/>
      <c r="V23" s="11"/>
      <c r="W23" s="14" t="s">
        <v>149</v>
      </c>
      <c r="X23" s="11"/>
      <c r="Y23" s="11"/>
      <c r="Z23" s="6">
        <v>1.0</v>
      </c>
    </row>
    <row r="24">
      <c r="A24" s="7" t="str">
        <f t="shared" si="1"/>
        <v>arcp://name,QuotationTool</v>
      </c>
      <c r="B24" s="8" t="s">
        <v>23</v>
      </c>
      <c r="C24" s="9" t="s">
        <v>24</v>
      </c>
      <c r="D24" s="7" t="str">
        <f t="shared" si="2"/>
        <v>./</v>
      </c>
      <c r="E24" s="7" t="s">
        <v>150</v>
      </c>
      <c r="F24" s="10">
        <v>46123.0</v>
      </c>
      <c r="G24" s="11"/>
      <c r="H24" s="13" t="s">
        <v>151</v>
      </c>
      <c r="I24" s="12" t="str">
        <f t="shared" ref="I24:I25" si="16">Orgs_People!$A$5</f>
        <v>https://ror.org/0384j8v12</v>
      </c>
      <c r="J24" s="16" t="str">
        <f t="shared" ref="J24:J25" si="17">Orgs_People!$A$8</f>
        <v>https://github.com/Sydney-Informatics-Hub</v>
      </c>
      <c r="K24" s="17"/>
      <c r="L24" s="17" t="str">
        <f t="shared" ref="L24:L25" si="18">Orgs_People!$A$21</f>
        <v>#SonyJufri</v>
      </c>
      <c r="M24" s="12" t="str">
        <f t="shared" ref="M24:M25" si="19">Orgs_People!$A$12</f>
        <v>https://orcid.org/0000-0002-1428-2649</v>
      </c>
      <c r="N24" s="13" t="s">
        <v>26</v>
      </c>
      <c r="O24" s="18" t="s">
        <v>152</v>
      </c>
      <c r="P24" s="13" t="s">
        <v>153</v>
      </c>
      <c r="Q24" s="13" t="s">
        <v>51</v>
      </c>
      <c r="R24" s="18" t="s">
        <v>154</v>
      </c>
      <c r="S24" s="13" t="s">
        <v>155</v>
      </c>
      <c r="T24" s="13" t="s">
        <v>156</v>
      </c>
      <c r="U24" s="11"/>
      <c r="V24" s="19" t="s">
        <v>157</v>
      </c>
      <c r="W24" s="14" t="s">
        <v>152</v>
      </c>
      <c r="X24" s="11"/>
      <c r="Y24" s="11"/>
      <c r="Z24" s="6">
        <v>1.0</v>
      </c>
    </row>
    <row r="25">
      <c r="A25" s="7" t="str">
        <f t="shared" si="1"/>
        <v>arcp://name,SemanticTaggerEnglish</v>
      </c>
      <c r="B25" s="8" t="s">
        <v>23</v>
      </c>
      <c r="C25" s="9" t="s">
        <v>24</v>
      </c>
      <c r="D25" s="7" t="str">
        <f t="shared" si="2"/>
        <v>./</v>
      </c>
      <c r="E25" s="7" t="s">
        <v>158</v>
      </c>
      <c r="F25" s="10">
        <v>46123.0</v>
      </c>
      <c r="G25" s="11"/>
      <c r="H25" s="13" t="s">
        <v>74</v>
      </c>
      <c r="I25" s="12" t="str">
        <f t="shared" si="16"/>
        <v>https://ror.org/0384j8v12</v>
      </c>
      <c r="J25" s="16" t="str">
        <f t="shared" si="17"/>
        <v>https://github.com/Sydney-Informatics-Hub</v>
      </c>
      <c r="K25" s="17"/>
      <c r="L25" s="17" t="str">
        <f t="shared" si="18"/>
        <v>#SonyJufri</v>
      </c>
      <c r="M25" s="12" t="str">
        <f t="shared" si="19"/>
        <v>https://orcid.org/0000-0002-1428-2649</v>
      </c>
      <c r="N25" s="13" t="s">
        <v>26</v>
      </c>
      <c r="O25" s="18" t="s">
        <v>159</v>
      </c>
      <c r="P25" s="13" t="s">
        <v>160</v>
      </c>
      <c r="Q25" s="13" t="s">
        <v>51</v>
      </c>
      <c r="R25" s="18" t="s">
        <v>161</v>
      </c>
      <c r="S25" s="12" t="s">
        <v>162</v>
      </c>
      <c r="T25" s="13" t="s">
        <v>163</v>
      </c>
      <c r="U25" s="11"/>
      <c r="V25" s="19" t="s">
        <v>164</v>
      </c>
      <c r="W25" s="14" t="s">
        <v>159</v>
      </c>
      <c r="X25" s="11"/>
      <c r="Y25" s="11"/>
      <c r="Z25" s="6">
        <v>1.0</v>
      </c>
    </row>
    <row r="26">
      <c r="A26" s="7" t="str">
        <f t="shared" si="1"/>
        <v>arcp://name,SentimentExplorer</v>
      </c>
      <c r="B26" s="8" t="s">
        <v>23</v>
      </c>
      <c r="C26" s="9" t="s">
        <v>24</v>
      </c>
      <c r="D26" s="7" t="str">
        <f t="shared" si="2"/>
        <v>./</v>
      </c>
      <c r="E26" s="7" t="s">
        <v>165</v>
      </c>
      <c r="F26" s="10">
        <v>46123.0</v>
      </c>
      <c r="G26" s="11"/>
      <c r="H26" s="11"/>
      <c r="I26" s="12" t="str">
        <f t="shared" ref="I26:I33" si="20">Orgs_People!$A$2</f>
        <v>https://ror.org/00rqy9422</v>
      </c>
      <c r="J26" s="12" t="str">
        <f t="shared" ref="J26:J33" si="21">Orgs_People!$A$10</f>
        <v>https://github.com/SLCLADAL/ladal</v>
      </c>
      <c r="K26" s="13"/>
      <c r="L26" s="12" t="str">
        <f t="shared" ref="L26:L33" si="22">Orgs_People!$A$16</f>
        <v>https://orcid.org/0000-0003-1923-9153</v>
      </c>
      <c r="M26" s="13"/>
      <c r="N26" s="13" t="s">
        <v>32</v>
      </c>
      <c r="O26" s="14" t="s">
        <v>33</v>
      </c>
      <c r="P26" s="13" t="s">
        <v>166</v>
      </c>
      <c r="Q26" s="13" t="s">
        <v>35</v>
      </c>
      <c r="R26" s="11"/>
      <c r="S26" s="11"/>
      <c r="T26" s="13" t="s">
        <v>167</v>
      </c>
      <c r="U26" s="11"/>
      <c r="V26" s="11"/>
      <c r="W26" s="14" t="s">
        <v>168</v>
      </c>
      <c r="X26" s="11"/>
      <c r="Y26" s="11"/>
      <c r="Z26" s="6">
        <v>1.0</v>
      </c>
    </row>
    <row r="27">
      <c r="A27" s="7" t="str">
        <f t="shared" si="1"/>
        <v>arcp://name,SentimentExplorer</v>
      </c>
      <c r="B27" s="8" t="s">
        <v>23</v>
      </c>
      <c r="C27" s="9" t="s">
        <v>24</v>
      </c>
      <c r="D27" s="7" t="str">
        <f t="shared" si="2"/>
        <v>./</v>
      </c>
      <c r="E27" s="7" t="s">
        <v>169</v>
      </c>
      <c r="F27" s="10">
        <v>46123.0</v>
      </c>
      <c r="G27" s="11"/>
      <c r="H27" s="15"/>
      <c r="I27" s="12" t="str">
        <f t="shared" si="20"/>
        <v>https://ror.org/00rqy9422</v>
      </c>
      <c r="J27" s="12" t="str">
        <f t="shared" si="21"/>
        <v>https://github.com/SLCLADAL/ladal</v>
      </c>
      <c r="K27" s="13"/>
      <c r="L27" s="12" t="str">
        <f t="shared" si="22"/>
        <v>https://orcid.org/0000-0003-1923-9153</v>
      </c>
      <c r="M27" s="13"/>
      <c r="N27" s="13" t="s">
        <v>39</v>
      </c>
      <c r="O27" s="14" t="s">
        <v>40</v>
      </c>
      <c r="P27" s="13" t="s">
        <v>170</v>
      </c>
      <c r="Q27" s="13" t="s">
        <v>35</v>
      </c>
      <c r="R27" s="11"/>
      <c r="S27" s="11"/>
      <c r="T27" s="13" t="s">
        <v>167</v>
      </c>
      <c r="U27" s="11"/>
      <c r="V27" s="11"/>
      <c r="W27" s="14" t="s">
        <v>171</v>
      </c>
      <c r="X27" s="11"/>
      <c r="Y27" s="11"/>
      <c r="Z27" s="6">
        <v>1.0</v>
      </c>
    </row>
    <row r="28">
      <c r="A28" s="7" t="str">
        <f t="shared" si="1"/>
        <v>arcp://name,TextCleaner</v>
      </c>
      <c r="B28" s="8" t="s">
        <v>23</v>
      </c>
      <c r="C28" s="9" t="s">
        <v>24</v>
      </c>
      <c r="D28" s="7" t="str">
        <f t="shared" si="2"/>
        <v>./</v>
      </c>
      <c r="E28" s="7" t="s">
        <v>172</v>
      </c>
      <c r="F28" s="10">
        <v>46123.0</v>
      </c>
      <c r="G28" s="11"/>
      <c r="H28" s="11"/>
      <c r="I28" s="12" t="str">
        <f t="shared" si="20"/>
        <v>https://ror.org/00rqy9422</v>
      </c>
      <c r="J28" s="12" t="str">
        <f t="shared" si="21"/>
        <v>https://github.com/SLCLADAL/ladal</v>
      </c>
      <c r="K28" s="13"/>
      <c r="L28" s="12" t="str">
        <f t="shared" si="22"/>
        <v>https://orcid.org/0000-0003-1923-9153</v>
      </c>
      <c r="M28" s="13"/>
      <c r="N28" s="13" t="s">
        <v>32</v>
      </c>
      <c r="O28" s="14" t="s">
        <v>33</v>
      </c>
      <c r="P28" s="13" t="s">
        <v>173</v>
      </c>
      <c r="Q28" s="13" t="s">
        <v>35</v>
      </c>
      <c r="R28" s="11"/>
      <c r="S28" s="11"/>
      <c r="T28" s="13" t="s">
        <v>174</v>
      </c>
      <c r="U28" s="11"/>
      <c r="V28" s="11"/>
      <c r="W28" s="14" t="s">
        <v>175</v>
      </c>
      <c r="X28" s="11"/>
      <c r="Y28" s="11"/>
    </row>
    <row r="29">
      <c r="A29" s="7" t="str">
        <f t="shared" si="1"/>
        <v>arcp://name,TextCleaner</v>
      </c>
      <c r="B29" s="8" t="s">
        <v>23</v>
      </c>
      <c r="C29" s="9" t="s">
        <v>24</v>
      </c>
      <c r="D29" s="7" t="str">
        <f t="shared" si="2"/>
        <v>./</v>
      </c>
      <c r="E29" s="7" t="s">
        <v>176</v>
      </c>
      <c r="F29" s="10">
        <v>46123.0</v>
      </c>
      <c r="G29" s="11"/>
      <c r="H29" s="15"/>
      <c r="I29" s="12" t="str">
        <f t="shared" si="20"/>
        <v>https://ror.org/00rqy9422</v>
      </c>
      <c r="J29" s="12" t="str">
        <f t="shared" si="21"/>
        <v>https://github.com/SLCLADAL/ladal</v>
      </c>
      <c r="K29" s="13"/>
      <c r="L29" s="12" t="str">
        <f t="shared" si="22"/>
        <v>https://orcid.org/0000-0003-1923-9153</v>
      </c>
      <c r="M29" s="13"/>
      <c r="N29" s="13" t="s">
        <v>39</v>
      </c>
      <c r="O29" s="14" t="s">
        <v>40</v>
      </c>
      <c r="P29" s="13" t="s">
        <v>177</v>
      </c>
      <c r="Q29" s="13" t="s">
        <v>35</v>
      </c>
      <c r="R29" s="11"/>
      <c r="S29" s="11"/>
      <c r="T29" s="13" t="s">
        <v>178</v>
      </c>
      <c r="U29" s="11"/>
      <c r="V29" s="11"/>
      <c r="W29" s="14" t="s">
        <v>179</v>
      </c>
      <c r="X29" s="11"/>
      <c r="Y29" s="11"/>
    </row>
    <row r="30">
      <c r="A30" s="7" t="str">
        <f t="shared" si="1"/>
        <v>arcp://name,TopicExplorer</v>
      </c>
      <c r="B30" s="8" t="s">
        <v>23</v>
      </c>
      <c r="C30" s="9" t="s">
        <v>24</v>
      </c>
      <c r="D30" s="7" t="str">
        <f t="shared" si="2"/>
        <v>./</v>
      </c>
      <c r="E30" s="7" t="s">
        <v>180</v>
      </c>
      <c r="F30" s="10">
        <v>46123.0</v>
      </c>
      <c r="G30" s="11"/>
      <c r="H30" s="11"/>
      <c r="I30" s="12" t="str">
        <f t="shared" si="20"/>
        <v>https://ror.org/00rqy9422</v>
      </c>
      <c r="J30" s="12" t="str">
        <f t="shared" si="21"/>
        <v>https://github.com/SLCLADAL/ladal</v>
      </c>
      <c r="K30" s="13"/>
      <c r="L30" s="12" t="str">
        <f t="shared" si="22"/>
        <v>https://orcid.org/0000-0003-1923-9153</v>
      </c>
      <c r="M30" s="13"/>
      <c r="N30" s="13" t="s">
        <v>32</v>
      </c>
      <c r="O30" s="14" t="s">
        <v>33</v>
      </c>
      <c r="P30" s="13" t="s">
        <v>181</v>
      </c>
      <c r="Q30" s="13" t="s">
        <v>35</v>
      </c>
      <c r="R30" s="11"/>
      <c r="S30" s="11"/>
      <c r="T30" s="13" t="s">
        <v>182</v>
      </c>
      <c r="U30" s="11"/>
      <c r="V30" s="11"/>
      <c r="W30" s="14" t="s">
        <v>183</v>
      </c>
      <c r="X30" s="11"/>
      <c r="Y30" s="11"/>
      <c r="Z30" s="6">
        <v>1.0</v>
      </c>
    </row>
    <row r="31">
      <c r="A31" s="7" t="str">
        <f t="shared" si="1"/>
        <v>arcp://name,TopicDetector</v>
      </c>
      <c r="B31" s="8" t="s">
        <v>23</v>
      </c>
      <c r="C31" s="9" t="s">
        <v>24</v>
      </c>
      <c r="D31" s="7" t="str">
        <f t="shared" si="2"/>
        <v>./</v>
      </c>
      <c r="E31" s="7" t="s">
        <v>184</v>
      </c>
      <c r="F31" s="10">
        <v>46123.0</v>
      </c>
      <c r="G31" s="11"/>
      <c r="H31" s="15"/>
      <c r="I31" s="12" t="str">
        <f t="shared" si="20"/>
        <v>https://ror.org/00rqy9422</v>
      </c>
      <c r="J31" s="12" t="str">
        <f t="shared" si="21"/>
        <v>https://github.com/SLCLADAL/ladal</v>
      </c>
      <c r="K31" s="13"/>
      <c r="L31" s="12" t="str">
        <f t="shared" si="22"/>
        <v>https://orcid.org/0000-0003-1923-9153</v>
      </c>
      <c r="M31" s="13"/>
      <c r="N31" s="13" t="s">
        <v>39</v>
      </c>
      <c r="O31" s="14" t="s">
        <v>40</v>
      </c>
      <c r="P31" s="13" t="s">
        <v>185</v>
      </c>
      <c r="Q31" s="13" t="s">
        <v>35</v>
      </c>
      <c r="R31" s="11"/>
      <c r="S31" s="11"/>
      <c r="T31" s="13" t="s">
        <v>186</v>
      </c>
      <c r="U31" s="11"/>
      <c r="V31" s="11"/>
      <c r="W31" s="14" t="s">
        <v>187</v>
      </c>
      <c r="X31" s="11"/>
      <c r="Y31" s="11"/>
      <c r="Z31" s="6">
        <v>1.0</v>
      </c>
    </row>
    <row r="32">
      <c r="A32" s="7" t="str">
        <f t="shared" si="1"/>
        <v>arcp://name,WordFinder</v>
      </c>
      <c r="B32" s="8" t="s">
        <v>23</v>
      </c>
      <c r="C32" s="9" t="s">
        <v>24</v>
      </c>
      <c r="D32" s="7" t="str">
        <f t="shared" si="2"/>
        <v>./</v>
      </c>
      <c r="E32" s="7" t="s">
        <v>188</v>
      </c>
      <c r="F32" s="10">
        <v>46123.0</v>
      </c>
      <c r="G32" s="11"/>
      <c r="H32" s="15"/>
      <c r="I32" s="12" t="str">
        <f t="shared" si="20"/>
        <v>https://ror.org/00rqy9422</v>
      </c>
      <c r="J32" s="12" t="str">
        <f t="shared" si="21"/>
        <v>https://github.com/SLCLADAL/ladal</v>
      </c>
      <c r="K32" s="13"/>
      <c r="L32" s="12" t="str">
        <f t="shared" si="22"/>
        <v>https://orcid.org/0000-0003-1923-9153</v>
      </c>
      <c r="M32" s="13"/>
      <c r="N32" s="13" t="s">
        <v>39</v>
      </c>
      <c r="O32" s="14" t="s">
        <v>40</v>
      </c>
      <c r="P32" s="13" t="s">
        <v>189</v>
      </c>
      <c r="Q32" s="13" t="s">
        <v>35</v>
      </c>
      <c r="R32" s="11"/>
      <c r="S32" s="11"/>
      <c r="T32" s="13" t="s">
        <v>190</v>
      </c>
      <c r="U32" s="11"/>
      <c r="V32" s="11"/>
      <c r="W32" s="14" t="s">
        <v>191</v>
      </c>
      <c r="X32" s="11"/>
      <c r="Y32" s="11"/>
      <c r="Z32" s="6">
        <v>1.0</v>
      </c>
    </row>
    <row r="33">
      <c r="A33" s="7" t="str">
        <f t="shared" si="1"/>
        <v>arcp://name,WordWebber</v>
      </c>
      <c r="B33" s="8" t="s">
        <v>23</v>
      </c>
      <c r="C33" s="9" t="s">
        <v>24</v>
      </c>
      <c r="D33" s="7" t="str">
        <f t="shared" si="2"/>
        <v>./</v>
      </c>
      <c r="E33" s="7" t="s">
        <v>192</v>
      </c>
      <c r="F33" s="10">
        <v>46123.0</v>
      </c>
      <c r="G33" s="11"/>
      <c r="H33" s="15"/>
      <c r="I33" s="12" t="str">
        <f t="shared" si="20"/>
        <v>https://ror.org/00rqy9422</v>
      </c>
      <c r="J33" s="12" t="str">
        <f t="shared" si="21"/>
        <v>https://github.com/SLCLADAL/ladal</v>
      </c>
      <c r="K33" s="13"/>
      <c r="L33" s="12" t="str">
        <f t="shared" si="22"/>
        <v>https://orcid.org/0000-0003-1923-9153</v>
      </c>
      <c r="M33" s="13"/>
      <c r="N33" s="13" t="s">
        <v>39</v>
      </c>
      <c r="O33" s="14" t="s">
        <v>40</v>
      </c>
      <c r="P33" s="13" t="s">
        <v>193</v>
      </c>
      <c r="Q33" s="13" t="s">
        <v>139</v>
      </c>
      <c r="R33" s="11"/>
      <c r="S33" s="11"/>
      <c r="T33" s="13" t="s">
        <v>194</v>
      </c>
      <c r="U33" s="11"/>
      <c r="V33" s="11"/>
      <c r="W33" s="14" t="s">
        <v>195</v>
      </c>
      <c r="X33" s="11"/>
      <c r="Y33" s="13" t="s">
        <v>142</v>
      </c>
      <c r="Z33" s="6">
        <v>1.0</v>
      </c>
    </row>
  </sheetData>
  <autoFilter ref="$A$1:$Y$34"/>
  <hyperlinks>
    <hyperlink r:id="rId1" location="Person" ref="C2"/>
    <hyperlink r:id="rId2" ref="O2"/>
    <hyperlink r:id="rId3" ref="W2"/>
    <hyperlink r:id="rId4" location="Person" ref="C3"/>
    <hyperlink r:id="rId5" location="jupyter-tools" ref="O3"/>
    <hyperlink r:id="rId6" location="collocation-analyser" ref="W3"/>
    <hyperlink r:id="rId7" location="Person" ref="C4"/>
    <hyperlink r:id="rId8" location="shiny-tools" ref="O4"/>
    <hyperlink r:id="rId9" location="collocationcalculator" ref="W4"/>
    <hyperlink r:id="rId10" location="Person" ref="C5"/>
    <hyperlink r:id="rId11" location="jupyter-tools" ref="O5"/>
    <hyperlink r:id="rId12" location="concordance-explorer" ref="W5"/>
    <hyperlink r:id="rId13" location="Person" ref="C6"/>
    <hyperlink r:id="rId14" ref="O6"/>
    <hyperlink r:id="rId15" ref="R6"/>
    <hyperlink r:id="rId16" ref="V6"/>
    <hyperlink r:id="rId17" ref="W6"/>
    <hyperlink r:id="rId18" location="Person" ref="C7"/>
    <hyperlink r:id="rId19" ref="O7"/>
    <hyperlink r:id="rId20" ref="R7"/>
    <hyperlink r:id="rId21" ref="V7"/>
    <hyperlink r:id="rId22" ref="W7"/>
    <hyperlink r:id="rId23" location="Person" ref="C8"/>
    <hyperlink r:id="rId24" ref="O8"/>
    <hyperlink r:id="rId25" ref="R8"/>
    <hyperlink r:id="rId26" ref="V8"/>
    <hyperlink r:id="rId27" ref="W8"/>
    <hyperlink r:id="rId28" location="Person" ref="C9"/>
    <hyperlink r:id="rId29" ref="O9"/>
    <hyperlink r:id="rId30" ref="R9"/>
    <hyperlink r:id="rId31" ref="V9"/>
    <hyperlink r:id="rId32" ref="W9"/>
    <hyperlink r:id="rId33" location="Person" ref="C10"/>
    <hyperlink r:id="rId34" ref="O10"/>
    <hyperlink r:id="rId35" ref="W10"/>
    <hyperlink r:id="rId36" location="Person" ref="C11"/>
    <hyperlink r:id="rId37" ref="O11"/>
    <hyperlink r:id="rId38" ref="W11"/>
    <hyperlink r:id="rId39" location="Person" ref="C12"/>
    <hyperlink r:id="rId40" ref="O12"/>
    <hyperlink r:id="rId41" ref="W12"/>
    <hyperlink r:id="rId42" location="Person" ref="C13"/>
    <hyperlink r:id="rId43" ref="O13"/>
    <hyperlink r:id="rId44" ref="W13"/>
    <hyperlink r:id="rId45" location="Person" ref="C14"/>
    <hyperlink r:id="rId46" ref="O14"/>
    <hyperlink r:id="rId47" ref="W14"/>
    <hyperlink r:id="rId48" location="Person" ref="C15"/>
    <hyperlink r:id="rId49" location="shiny-tools" ref="O15"/>
    <hyperlink r:id="rId50" location="filerenamer" ref="W15"/>
    <hyperlink r:id="rId51" location="Person" ref="C16"/>
    <hyperlink r:id="rId52" ref="O16"/>
    <hyperlink r:id="rId53" ref="V16"/>
    <hyperlink r:id="rId54" ref="W16"/>
    <hyperlink r:id="rId55" location="Person" ref="C17"/>
    <hyperlink r:id="rId56" location="jupyter-tools" ref="O17"/>
    <hyperlink r:id="rId57" location="keyword-finder" ref="W17"/>
    <hyperlink r:id="rId58" location="Person" ref="C18"/>
    <hyperlink r:id="rId59" location="shiny-tools" ref="O18"/>
    <hyperlink r:id="rId60" location="keywordextractor" ref="W18"/>
    <hyperlink r:id="rId61" location="Person" ref="C19"/>
    <hyperlink r:id="rId62" ref="O19"/>
    <hyperlink r:id="rId63" ref="R19"/>
    <hyperlink r:id="rId64" ref="V19"/>
    <hyperlink r:id="rId65" ref="W19"/>
    <hyperlink r:id="rId66" location="Person" ref="C20"/>
    <hyperlink r:id="rId67" ref="O20"/>
    <hyperlink r:id="rId68" ref="R20"/>
    <hyperlink r:id="rId69" ref="S20"/>
    <hyperlink r:id="rId70" ref="V20"/>
    <hyperlink r:id="rId71" ref="W20"/>
    <hyperlink r:id="rId72" location="Person" ref="C21"/>
    <hyperlink r:id="rId73" location="jupyter-tools" ref="O21"/>
    <hyperlink r:id="rId74" location="network-visualiser" ref="W21"/>
    <hyperlink r:id="rId75" location="Person" ref="C22"/>
    <hyperlink r:id="rId76" location="jupyter-tools" ref="O22"/>
    <hyperlink r:id="rId77" location="part-of-speech-tagger" ref="W22"/>
    <hyperlink r:id="rId78" location="Person" ref="C23"/>
    <hyperlink r:id="rId79" location="shiny-tools" ref="O23"/>
    <hyperlink r:id="rId80" location="postagger" ref="W23"/>
    <hyperlink r:id="rId81" location="Person" ref="C24"/>
    <hyperlink r:id="rId82" ref="O24"/>
    <hyperlink r:id="rId83" ref="R24"/>
    <hyperlink r:id="rId84" ref="V24"/>
    <hyperlink r:id="rId85" ref="W24"/>
    <hyperlink r:id="rId86" location="Person" ref="C25"/>
    <hyperlink r:id="rId87" ref="O25"/>
    <hyperlink r:id="rId88" ref="R25"/>
    <hyperlink r:id="rId89" ref="S25"/>
    <hyperlink r:id="rId90" ref="V25"/>
    <hyperlink r:id="rId91" ref="W25"/>
    <hyperlink r:id="rId92" location="Person" ref="C26"/>
    <hyperlink r:id="rId93" location="jupyter-tools" ref="O26"/>
    <hyperlink r:id="rId94" location="sentiment-explorer" ref="W26"/>
    <hyperlink r:id="rId95" location="Person" ref="C27"/>
    <hyperlink r:id="rId96" location="shiny-tools" ref="O27"/>
    <hyperlink r:id="rId97" location="sentimentexplorer" ref="W27"/>
    <hyperlink r:id="rId98" location="Person" ref="C28"/>
    <hyperlink r:id="rId99" location="jupyter-tools" ref="O28"/>
    <hyperlink r:id="rId100" location="text-cleaner" ref="W28"/>
    <hyperlink r:id="rId101" location="Person" ref="C29"/>
    <hyperlink r:id="rId102" location="shiny-tools" ref="O29"/>
    <hyperlink r:id="rId103" location="textcleaner" ref="W29"/>
    <hyperlink r:id="rId104" location="Person" ref="C30"/>
    <hyperlink r:id="rId105" location="jupyter-tools" ref="O30"/>
    <hyperlink r:id="rId106" location="topic-explorer" ref="W30"/>
    <hyperlink r:id="rId107" location="Person" ref="C31"/>
    <hyperlink r:id="rId108" location="shiny-tools" ref="O31"/>
    <hyperlink r:id="rId109" location="topicdetector" ref="W31"/>
    <hyperlink r:id="rId110" location="Person" ref="C32"/>
    <hyperlink r:id="rId111" location="shiny-tools" ref="O32"/>
    <hyperlink r:id="rId112" location="wordfinder" ref="W32"/>
    <hyperlink r:id="rId113" location="Person" ref="C33"/>
    <hyperlink r:id="rId114" location="shiny-tools" ref="O33"/>
    <hyperlink r:id="rId115" location="wordwebber" ref="W33"/>
  </hyperlinks>
  <drawing r:id="rId116"/>
</worksheet>
</file>